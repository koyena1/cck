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Sheet1" sheetId="6" r:id="rId1"/>
  </sheets>
  <calcPr calcId="124519"/>
</workbook>
</file>

<file path=xl/calcChain.xml><?xml version="1.0" encoding="utf-8"?>
<calcChain xmlns="http://schemas.openxmlformats.org/spreadsheetml/2006/main">
  <c r="L4" i="6"/>
  <c r="L5"/>
  <c r="L6"/>
  <c r="L7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38"/>
  <c r="L39"/>
  <c r="L40"/>
  <c r="L41"/>
  <c r="L42"/>
  <c r="L43"/>
  <c r="L44"/>
  <c r="L45"/>
  <c r="L46"/>
  <c r="L47"/>
  <c r="L48"/>
  <c r="L49"/>
  <c r="L50"/>
  <c r="L51"/>
  <c r="L52"/>
  <c r="L53"/>
  <c r="L54"/>
  <c r="L55"/>
  <c r="L56"/>
  <c r="L57"/>
  <c r="L58"/>
  <c r="L59"/>
  <c r="L60"/>
  <c r="L61"/>
  <c r="L62"/>
  <c r="L63"/>
  <c r="L64"/>
  <c r="L65"/>
  <c r="L66"/>
  <c r="L67"/>
  <c r="L68"/>
  <c r="L69"/>
  <c r="L70"/>
  <c r="L71"/>
  <c r="L72"/>
  <c r="L73"/>
  <c r="L74"/>
  <c r="L75"/>
  <c r="L76"/>
  <c r="L77"/>
  <c r="L78"/>
  <c r="L79"/>
  <c r="L80"/>
  <c r="L81"/>
  <c r="L82"/>
  <c r="L83"/>
  <c r="L84"/>
  <c r="L85"/>
  <c r="L86"/>
  <c r="L87"/>
  <c r="L88"/>
  <c r="L89"/>
  <c r="L90"/>
  <c r="L91"/>
  <c r="L92"/>
  <c r="L93"/>
  <c r="L94"/>
  <c r="L95"/>
  <c r="L96"/>
  <c r="L97"/>
  <c r="L98"/>
  <c r="L99"/>
  <c r="L100"/>
  <c r="L101"/>
  <c r="L102"/>
  <c r="L103"/>
  <c r="L104"/>
  <c r="L105"/>
  <c r="L106"/>
  <c r="L107"/>
  <c r="L108"/>
  <c r="L109"/>
  <c r="L110"/>
  <c r="L111"/>
  <c r="L112"/>
  <c r="L113"/>
  <c r="L114"/>
  <c r="L115"/>
  <c r="L116"/>
  <c r="L117"/>
  <c r="L118"/>
  <c r="L119"/>
  <c r="L120"/>
  <c r="L121"/>
  <c r="L122"/>
  <c r="L123"/>
  <c r="L124"/>
  <c r="L125"/>
  <c r="L126"/>
  <c r="L127"/>
  <c r="L128"/>
  <c r="L129"/>
  <c r="L130"/>
  <c r="L131"/>
  <c r="L132"/>
  <c r="L133"/>
  <c r="L134"/>
  <c r="L135"/>
  <c r="L3"/>
  <c r="J4"/>
  <c r="J5"/>
  <c r="J8"/>
  <c r="J9"/>
  <c r="J10"/>
  <c r="J12"/>
  <c r="J13"/>
  <c r="J15"/>
  <c r="J16"/>
  <c r="J19"/>
  <c r="J21"/>
  <c r="J22"/>
  <c r="J23"/>
  <c r="J30"/>
  <c r="J32"/>
  <c r="J37"/>
  <c r="J38"/>
  <c r="J39"/>
  <c r="J42"/>
  <c r="J43"/>
  <c r="J44"/>
  <c r="J46"/>
  <c r="J47"/>
  <c r="J48"/>
  <c r="J49"/>
  <c r="J51"/>
  <c r="J54"/>
  <c r="J61"/>
  <c r="J62"/>
  <c r="J67"/>
  <c r="J68"/>
  <c r="J70"/>
  <c r="J71"/>
  <c r="J72"/>
  <c r="J74"/>
  <c r="J75"/>
  <c r="J76"/>
  <c r="J79"/>
  <c r="J80"/>
  <c r="J81"/>
  <c r="J82"/>
  <c r="J88"/>
  <c r="J89"/>
  <c r="J91"/>
  <c r="J92"/>
  <c r="J94"/>
  <c r="J95"/>
  <c r="J97"/>
  <c r="J98"/>
  <c r="J102"/>
  <c r="J103"/>
  <c r="J104"/>
  <c r="J105"/>
  <c r="J108"/>
  <c r="J109"/>
  <c r="J110"/>
  <c r="J111"/>
  <c r="J112"/>
  <c r="J114"/>
  <c r="J115"/>
  <c r="J120"/>
  <c r="J123"/>
  <c r="J124"/>
  <c r="J131"/>
  <c r="J132"/>
  <c r="J134"/>
  <c r="J135"/>
  <c r="J3"/>
  <c r="H4"/>
  <c r="H5"/>
  <c r="H6"/>
  <c r="J6" s="1"/>
  <c r="H7"/>
  <c r="J7" s="1"/>
  <c r="H8"/>
  <c r="H9"/>
  <c r="H10"/>
  <c r="H11"/>
  <c r="J11" s="1"/>
  <c r="H12"/>
  <c r="H13"/>
  <c r="H14"/>
  <c r="J14" s="1"/>
  <c r="H15"/>
  <c r="H16"/>
  <c r="H17"/>
  <c r="J17" s="1"/>
  <c r="H18"/>
  <c r="J18" s="1"/>
  <c r="H19"/>
  <c r="H20"/>
  <c r="J20" s="1"/>
  <c r="H21"/>
  <c r="H22"/>
  <c r="H23"/>
  <c r="H24"/>
  <c r="J24" s="1"/>
  <c r="H25"/>
  <c r="J25" s="1"/>
  <c r="H26"/>
  <c r="J26" s="1"/>
  <c r="H27"/>
  <c r="J27" s="1"/>
  <c r="H28"/>
  <c r="J28" s="1"/>
  <c r="H29"/>
  <c r="J29" s="1"/>
  <c r="H30"/>
  <c r="H31"/>
  <c r="J31" s="1"/>
  <c r="H32"/>
  <c r="H33"/>
  <c r="J33" s="1"/>
  <c r="H34"/>
  <c r="J34" s="1"/>
  <c r="H35"/>
  <c r="J35" s="1"/>
  <c r="H36"/>
  <c r="J36" s="1"/>
  <c r="H37"/>
  <c r="H38"/>
  <c r="H39"/>
  <c r="H40"/>
  <c r="J40" s="1"/>
  <c r="H41"/>
  <c r="J41" s="1"/>
  <c r="H42"/>
  <c r="H43"/>
  <c r="H44"/>
  <c r="H45"/>
  <c r="J45" s="1"/>
  <c r="H46"/>
  <c r="H47"/>
  <c r="H48"/>
  <c r="H49"/>
  <c r="H50"/>
  <c r="J50" s="1"/>
  <c r="H51"/>
  <c r="H52"/>
  <c r="J52" s="1"/>
  <c r="H53"/>
  <c r="J53" s="1"/>
  <c r="H54"/>
  <c r="H55"/>
  <c r="J55" s="1"/>
  <c r="H56"/>
  <c r="J56" s="1"/>
  <c r="H57"/>
  <c r="J57" s="1"/>
  <c r="H58"/>
  <c r="J58" s="1"/>
  <c r="H59"/>
  <c r="J59" s="1"/>
  <c r="H60"/>
  <c r="J60" s="1"/>
  <c r="H61"/>
  <c r="H62"/>
  <c r="H63"/>
  <c r="J63" s="1"/>
  <c r="H64"/>
  <c r="J64" s="1"/>
  <c r="H65"/>
  <c r="J65" s="1"/>
  <c r="H66"/>
  <c r="J66" s="1"/>
  <c r="H67"/>
  <c r="H68"/>
  <c r="H69"/>
  <c r="J69" s="1"/>
  <c r="H70"/>
  <c r="H71"/>
  <c r="H72"/>
  <c r="H73"/>
  <c r="J73" s="1"/>
  <c r="H74"/>
  <c r="H75"/>
  <c r="H76"/>
  <c r="H77"/>
  <c r="J77" s="1"/>
  <c r="H78"/>
  <c r="J78" s="1"/>
  <c r="H79"/>
  <c r="H80"/>
  <c r="H81"/>
  <c r="H82"/>
  <c r="H83"/>
  <c r="J83" s="1"/>
  <c r="H84"/>
  <c r="J84" s="1"/>
  <c r="H85"/>
  <c r="J85" s="1"/>
  <c r="H86"/>
  <c r="J86" s="1"/>
  <c r="H87"/>
  <c r="J87" s="1"/>
  <c r="H88"/>
  <c r="H89"/>
  <c r="H90"/>
  <c r="J90" s="1"/>
  <c r="H91"/>
  <c r="H92"/>
  <c r="H93"/>
  <c r="J93" s="1"/>
  <c r="H94"/>
  <c r="H95"/>
  <c r="H96"/>
  <c r="J96" s="1"/>
  <c r="H97"/>
  <c r="H98"/>
  <c r="H99"/>
  <c r="J99" s="1"/>
  <c r="H100"/>
  <c r="J100" s="1"/>
  <c r="H101"/>
  <c r="J101" s="1"/>
  <c r="H102"/>
  <c r="H103"/>
  <c r="H104"/>
  <c r="H105"/>
  <c r="H106"/>
  <c r="J106" s="1"/>
  <c r="H107"/>
  <c r="J107" s="1"/>
  <c r="H108"/>
  <c r="H109"/>
  <c r="H110"/>
  <c r="H111"/>
  <c r="H112"/>
  <c r="H113"/>
  <c r="J113" s="1"/>
  <c r="H114"/>
  <c r="H115"/>
  <c r="H116"/>
  <c r="J116" s="1"/>
  <c r="H117"/>
  <c r="J117" s="1"/>
  <c r="H118"/>
  <c r="J118" s="1"/>
  <c r="H119"/>
  <c r="J119" s="1"/>
  <c r="H120"/>
  <c r="H121"/>
  <c r="J121" s="1"/>
  <c r="H122"/>
  <c r="J122" s="1"/>
  <c r="H123"/>
  <c r="H124"/>
  <c r="H125"/>
  <c r="J125" s="1"/>
  <c r="H126"/>
  <c r="J126" s="1"/>
  <c r="H127"/>
  <c r="J127" s="1"/>
  <c r="H128"/>
  <c r="J128" s="1"/>
  <c r="H129"/>
  <c r="J129" s="1"/>
  <c r="H130"/>
  <c r="J130" s="1"/>
  <c r="H131"/>
  <c r="H132"/>
  <c r="H133"/>
  <c r="J133" s="1"/>
  <c r="H134"/>
  <c r="H135"/>
  <c r="H3"/>
</calcChain>
</file>

<file path=xl/sharedStrings.xml><?xml version="1.0" encoding="utf-8"?>
<sst xmlns="http://schemas.openxmlformats.org/spreadsheetml/2006/main" count="476" uniqueCount="283">
  <si>
    <r>
      <rPr>
        <b/>
        <i/>
        <sz val="9"/>
        <rFont val="Calibri"/>
        <family val="1"/>
      </rPr>
      <t>Dome</t>
    </r>
  </si>
  <si>
    <r>
      <rPr>
        <b/>
        <sz val="9"/>
        <rFont val="Calibri"/>
        <family val="1"/>
      </rPr>
      <t>2MP</t>
    </r>
  </si>
  <si>
    <r>
      <rPr>
        <b/>
        <sz val="9"/>
        <rFont val="Calibri"/>
        <family val="1"/>
      </rPr>
      <t>1080P Resolution, CMOS Image Sensor, Up to 20m IR Distance, 2.8 mm/3.6 mm</t>
    </r>
  </si>
  <si>
    <r>
      <rPr>
        <b/>
        <i/>
        <sz val="9"/>
        <rFont val="Calibri"/>
        <family val="1"/>
      </rPr>
      <t>Bullet</t>
    </r>
  </si>
  <si>
    <r>
      <rPr>
        <b/>
        <sz val="9"/>
        <rFont val="Calibri"/>
        <family val="1"/>
      </rPr>
      <t>1080P, Built-in-Mic, Up to 20m IR Distance, Switchable to TVI/AHD/CVI/CVB</t>
    </r>
  </si>
  <si>
    <r>
      <rPr>
        <b/>
        <sz val="9"/>
        <rFont val="Calibri"/>
        <family val="1"/>
      </rPr>
      <t>1080P, CMOS Sensor, Up to 20m IR Distance, Switchable to TVI/AHD/CVI/CVBS, 6mm</t>
    </r>
  </si>
  <si>
    <r>
      <rPr>
        <b/>
        <sz val="9"/>
        <rFont val="Calibri"/>
        <family val="1"/>
      </rPr>
      <t>1080P, CMOS Sensor, Up to 40m IR Distance, Switchable to TVI/AHD/CVI/CVBS, 8mm</t>
    </r>
  </si>
  <si>
    <r>
      <rPr>
        <b/>
        <sz val="9"/>
        <rFont val="Calibri"/>
        <family val="1"/>
      </rPr>
      <t>1080P, CMOS Sensor, Up to 80m IR Distance, Switchable to TVI/AHD/CVI/CVBS, 12mm</t>
    </r>
  </si>
  <si>
    <r>
      <rPr>
        <b/>
        <sz val="9"/>
        <rFont val="Calibri"/>
        <family val="1"/>
      </rPr>
      <t>1080P, CMOS Sensor, Up to 20m IR Distance, Switchable, True WDR 120dB</t>
    </r>
  </si>
  <si>
    <r>
      <rPr>
        <b/>
        <i/>
        <sz val="9"/>
        <rFont val="Calibri"/>
        <family val="1"/>
      </rPr>
      <t>VF Dome</t>
    </r>
  </si>
  <si>
    <r>
      <rPr>
        <b/>
        <sz val="9"/>
        <rFont val="Calibri"/>
        <family val="1"/>
      </rPr>
      <t>1080P, CMOS Sensor, Up to 40m IR Distance, WDR, Switchable, Motorized Verifocal</t>
    </r>
  </si>
  <si>
    <r>
      <rPr>
        <b/>
        <i/>
        <sz val="9"/>
        <rFont val="Calibri"/>
        <family val="1"/>
      </rPr>
      <t>VF Bullet</t>
    </r>
  </si>
  <si>
    <r>
      <rPr>
        <b/>
        <sz val="9"/>
        <rFont val="Calibri"/>
        <family val="1"/>
      </rPr>
      <t>5MP</t>
    </r>
  </si>
  <si>
    <r>
      <rPr>
        <b/>
        <sz val="9"/>
        <rFont val="Calibri"/>
        <family val="1"/>
      </rPr>
      <t>2560 × 1944 Resolution, Built-in-Mic, Up to 20m IR Distance, Switchable 4-in-</t>
    </r>
  </si>
  <si>
    <r>
      <rPr>
        <b/>
        <sz val="9"/>
        <rFont val="Calibri"/>
        <family val="1"/>
      </rPr>
      <t>2560 × 1944 Resolution, Up to 20m IR Distance, Switchable 4-in-1, 6mm</t>
    </r>
  </si>
  <si>
    <r>
      <rPr>
        <b/>
        <sz val="9"/>
        <rFont val="Calibri"/>
        <family val="1"/>
      </rPr>
      <t>2560 × 1944 Resolution, Up to 40m IR Distance, Switchable 4-in-1, 8mm</t>
    </r>
  </si>
  <si>
    <r>
      <rPr>
        <b/>
        <sz val="9"/>
        <rFont val="Calibri"/>
        <family val="1"/>
      </rPr>
      <t>8MP</t>
    </r>
  </si>
  <si>
    <r>
      <rPr>
        <b/>
        <sz val="9"/>
        <rFont val="Calibri"/>
        <family val="1"/>
      </rPr>
      <t>3840 × 2160 Resolution, CMOS Sensor, Up to 30m IR Distance, Switchable 4-in-1</t>
    </r>
  </si>
  <si>
    <r>
      <rPr>
        <b/>
        <sz val="9"/>
        <rFont val="Calibri"/>
        <family val="1"/>
      </rPr>
      <t>2 MP</t>
    </r>
  </si>
  <si>
    <r>
      <rPr>
        <b/>
        <sz val="9"/>
        <rFont val="Calibri"/>
        <family val="1"/>
      </rPr>
      <t>1080P, CMOS Sensor, Up to 20m IR, Switchable, D-WDR, Warm Light, ColourVu with Audio</t>
    </r>
  </si>
  <si>
    <r>
      <rPr>
        <b/>
        <sz val="9"/>
        <rFont val="Calibri"/>
        <family val="1"/>
      </rPr>
      <t>1080P, Built-in-Mic, Up to 40m IR, Switchable, D- WDR, Warm Light, ColourVu, IP 67</t>
    </r>
  </si>
  <si>
    <r>
      <rPr>
        <b/>
        <sz val="9"/>
        <rFont val="Calibri"/>
        <family val="1"/>
      </rPr>
      <t>1080P, Built-in-Mic, Up to 20m IR, Switchable, True WDR, Warm Light, ColourVu</t>
    </r>
  </si>
  <si>
    <r>
      <rPr>
        <b/>
        <sz val="9"/>
        <rFont val="Calibri"/>
        <family val="1"/>
      </rPr>
      <t>6 MP</t>
    </r>
  </si>
  <si>
    <r>
      <rPr>
        <b/>
        <sz val="9"/>
        <rFont val="Calibri"/>
        <family val="1"/>
      </rPr>
      <t>2960 × 1665 Resolution, Built-in-Mic, Switchable, D-WDR, Warm Light, ColourVu</t>
    </r>
  </si>
  <si>
    <r>
      <rPr>
        <b/>
        <sz val="9"/>
        <rFont val="Calibri"/>
        <family val="1"/>
      </rPr>
      <t>1920 × 1080 Resolution, TWO WAY TALK, Switchable, True WDR, Warm Light, ColourVu, IP 67</t>
    </r>
  </si>
  <si>
    <r>
      <rPr>
        <b/>
        <sz val="9"/>
        <rFont val="Calibri"/>
        <family val="1"/>
      </rPr>
      <t>1920 × 1080 Resolution, TWO WAY TALK, Switchable, D- WDR, Warm Light, ColourVu, IP 67</t>
    </r>
  </si>
  <si>
    <r>
      <rPr>
        <b/>
        <i/>
        <sz val="9"/>
        <rFont val="Calibri"/>
        <family val="1"/>
      </rPr>
      <t>Pan-Tilt</t>
    </r>
  </si>
  <si>
    <r>
      <rPr>
        <b/>
        <sz val="9"/>
        <rFont val="Calibri"/>
        <family val="1"/>
      </rPr>
      <t>1920 × 1080 Resolution, TWO WAY TALK, Switchable, D-WDR, Warm Light, ColourVu</t>
    </r>
  </si>
  <si>
    <r>
      <rPr>
        <b/>
        <sz val="9"/>
        <rFont val="Calibri"/>
        <family val="1"/>
      </rPr>
      <t>3K</t>
    </r>
  </si>
  <si>
    <r>
      <rPr>
        <b/>
        <sz val="9"/>
        <rFont val="Calibri"/>
        <family val="1"/>
      </rPr>
      <t>2960 × 1665 Resolution, TWO WAY TALK, Switchable, D- WDR, Warm Light, ColourVu</t>
    </r>
  </si>
  <si>
    <r>
      <rPr>
        <b/>
        <sz val="9"/>
        <rFont val="Calibri"/>
        <family val="1"/>
      </rPr>
      <t>2960 × 1665 Resolution, TWO WAY TALK, Switchable, D- WDR, Warm Light, ColourVu, 40m IR</t>
    </r>
  </si>
  <si>
    <r>
      <rPr>
        <b/>
        <sz val="9"/>
        <rFont val="Calibri"/>
        <family val="1"/>
      </rPr>
      <t>2960 × 1665 Resolution, Built-in-Mic, Switchable, True WDR, Warm Light, ColourVu</t>
    </r>
  </si>
  <si>
    <r>
      <rPr>
        <b/>
        <sz val="9"/>
        <rFont val="Calibri"/>
        <family val="1"/>
      </rPr>
      <t>1080P, Built-in-Mic, Up to 20m White light, Switchable, D-WDR, Smart Dual Light, IP67</t>
    </r>
  </si>
  <si>
    <r>
      <rPr>
        <b/>
        <sz val="9"/>
        <rFont val="Calibri"/>
        <family val="1"/>
      </rPr>
      <t>2K</t>
    </r>
  </si>
  <si>
    <r>
      <rPr>
        <b/>
        <sz val="9"/>
        <rFont val="Calibri"/>
        <family val="1"/>
      </rPr>
      <t>2K, Built-in-Mic, Up to 20m White light, Switchable, D-WDR, Smart Dual Light, IP67</t>
    </r>
  </si>
  <si>
    <r>
      <rPr>
        <b/>
        <sz val="9"/>
        <rFont val="Calibri"/>
        <family val="1"/>
      </rPr>
      <t>3K , Built-in-Mic, Up to 20m White light, Dome, Switchable, D-WDR, Smart Dual Light, IP67</t>
    </r>
  </si>
  <si>
    <r>
      <rPr>
        <b/>
        <sz val="9"/>
        <rFont val="Calibri"/>
        <family val="1"/>
      </rPr>
      <t>3K , Built-in-Mic, Up to 20m White light, Bullet, Switchable, D-WDR, Smart Dual Light, IP67</t>
    </r>
  </si>
  <si>
    <r>
      <rPr>
        <b/>
        <sz val="9"/>
        <color rgb="FFFFFFFF"/>
        <rFont val="Calibri"/>
        <family val="1"/>
      </rPr>
      <t>HD Standard Cameras 1MP &amp; 2MP</t>
    </r>
  </si>
  <si>
    <r>
      <rPr>
        <b/>
        <sz val="9"/>
        <color rgb="FFFFFFFF"/>
        <rFont val="Calibri"/>
        <family val="1"/>
      </rPr>
      <t>HD Standard Cameras 5MP &amp; 8MP</t>
    </r>
  </si>
  <si>
    <r>
      <rPr>
        <b/>
        <sz val="9"/>
        <color rgb="FFFFFFFF"/>
        <rFont val="Calibri"/>
        <family val="1"/>
      </rPr>
      <t>ColourVu HD Cameras 2MP, 2K, 5MP &amp; 6MP</t>
    </r>
  </si>
  <si>
    <r>
      <rPr>
        <b/>
        <sz val="9"/>
        <rFont val="Calibri"/>
        <family val="1"/>
      </rPr>
      <t>DS-2CE5AD0T-ITP\ECO</t>
    </r>
  </si>
  <si>
    <r>
      <rPr>
        <b/>
        <sz val="9"/>
        <rFont val="Calibri"/>
        <family val="1"/>
      </rPr>
      <t>DS-2CE1AD0T-ITP\ECO</t>
    </r>
  </si>
  <si>
    <r>
      <rPr>
        <b/>
        <sz val="9"/>
        <rFont val="Calibri"/>
        <family val="1"/>
      </rPr>
      <t>DS-2CE76D0T-ITPFS</t>
    </r>
  </si>
  <si>
    <r>
      <rPr>
        <b/>
        <sz val="9"/>
        <rFont val="Calibri"/>
        <family val="1"/>
      </rPr>
      <t>DS-2CE16D0T-ITPFS</t>
    </r>
  </si>
  <si>
    <r>
      <rPr>
        <b/>
        <sz val="9"/>
        <rFont val="Calibri"/>
        <family val="1"/>
      </rPr>
      <t>DS-2CE1AD0T-IT1F</t>
    </r>
  </si>
  <si>
    <r>
      <rPr>
        <b/>
        <sz val="9"/>
        <rFont val="Calibri"/>
        <family val="1"/>
      </rPr>
      <t>DS-2CE1AD0T-IT3F</t>
    </r>
  </si>
  <si>
    <r>
      <rPr>
        <b/>
        <sz val="9"/>
        <rFont val="Calibri"/>
        <family val="1"/>
      </rPr>
      <t>DS-2CE1AD0T-IT5F</t>
    </r>
  </si>
  <si>
    <r>
      <rPr>
        <b/>
        <sz val="9"/>
        <rFont val="Calibri"/>
        <family val="1"/>
      </rPr>
      <t>DS-2CE76D3T-ITPF</t>
    </r>
  </si>
  <si>
    <r>
      <rPr>
        <b/>
        <sz val="9"/>
        <rFont val="Calibri"/>
        <family val="1"/>
      </rPr>
      <t>DS-2CE16D3T-ITPF</t>
    </r>
  </si>
  <si>
    <r>
      <rPr>
        <b/>
        <sz val="9"/>
        <rFont val="Calibri"/>
        <family val="1"/>
      </rPr>
      <t>DS-2CE79D3T-IT3ZF</t>
    </r>
  </si>
  <si>
    <r>
      <rPr>
        <b/>
        <sz val="9"/>
        <rFont val="Calibri"/>
        <family val="1"/>
      </rPr>
      <t>DS-2CE19D3T-AIT3ZF</t>
    </r>
  </si>
  <si>
    <r>
      <rPr>
        <b/>
        <sz val="9"/>
        <rFont val="Calibri"/>
        <family val="1"/>
      </rPr>
      <t>DS-2CE76H0T-ITPFS</t>
    </r>
  </si>
  <si>
    <r>
      <rPr>
        <b/>
        <sz val="9"/>
        <rFont val="Calibri"/>
        <family val="1"/>
      </rPr>
      <t>DS-2CE16H0T-ITPFS</t>
    </r>
  </si>
  <si>
    <r>
      <rPr>
        <b/>
        <sz val="9"/>
        <rFont val="Calibri"/>
        <family val="1"/>
      </rPr>
      <t>DS-2CE1AH0T-IT1F</t>
    </r>
  </si>
  <si>
    <r>
      <rPr>
        <b/>
        <sz val="9"/>
        <rFont val="Calibri"/>
        <family val="1"/>
      </rPr>
      <t>DS-2CE1AH0T-IT3F</t>
    </r>
  </si>
  <si>
    <r>
      <rPr>
        <b/>
        <sz val="9"/>
        <rFont val="Calibri"/>
        <family val="1"/>
      </rPr>
      <t>DS-2CE76U0T-ITPF</t>
    </r>
  </si>
  <si>
    <r>
      <rPr>
        <b/>
        <sz val="9"/>
        <rFont val="Calibri"/>
        <family val="1"/>
      </rPr>
      <t>DS-2CE16U0T-ITPF</t>
    </r>
  </si>
  <si>
    <r>
      <rPr>
        <b/>
        <sz val="9"/>
        <rFont val="Calibri"/>
        <family val="1"/>
      </rPr>
      <t>DS-2CE70DF0T-PFS</t>
    </r>
  </si>
  <si>
    <r>
      <rPr>
        <b/>
        <sz val="9"/>
        <rFont val="Calibri"/>
        <family val="1"/>
      </rPr>
      <t>DS-2CE10DF0T-PFS</t>
    </r>
  </si>
  <si>
    <r>
      <rPr>
        <b/>
        <sz val="9"/>
        <rFont val="Calibri"/>
        <family val="1"/>
      </rPr>
      <t>DS-2CE17D0T-LFS</t>
    </r>
  </si>
  <si>
    <r>
      <rPr>
        <b/>
        <sz val="9"/>
        <rFont val="Calibri"/>
        <family val="1"/>
      </rPr>
      <t>DS-2CE70DF3T-MFS</t>
    </r>
  </si>
  <si>
    <r>
      <rPr>
        <b/>
        <sz val="9"/>
        <rFont val="Calibri"/>
        <family val="1"/>
      </rPr>
      <t>DS-2CE10DF3T-FS</t>
    </r>
  </si>
  <si>
    <r>
      <rPr>
        <b/>
        <sz val="9"/>
        <rFont val="Calibri"/>
        <family val="1"/>
      </rPr>
      <t>DS-2CE70KF0T-PFS</t>
    </r>
  </si>
  <si>
    <r>
      <rPr>
        <b/>
        <sz val="9"/>
        <rFont val="Calibri"/>
        <family val="1"/>
      </rPr>
      <t>DS-2CE10KF0T-PFS</t>
    </r>
  </si>
  <si>
    <r>
      <rPr>
        <b/>
        <sz val="9"/>
        <rFont val="Calibri"/>
        <family val="1"/>
      </rPr>
      <t>DS-2CE12KF0T-FS</t>
    </r>
  </si>
  <si>
    <r>
      <rPr>
        <b/>
        <sz val="9"/>
        <rFont val="Calibri"/>
        <family val="1"/>
      </rPr>
      <t>DS-2CE10DF3T-LPTS</t>
    </r>
  </si>
  <si>
    <r>
      <rPr>
        <b/>
        <sz val="9"/>
        <rFont val="Calibri"/>
        <family val="1"/>
      </rPr>
      <t>DS-2CE16D0T-LPTS</t>
    </r>
  </si>
  <si>
    <r>
      <rPr>
        <b/>
        <sz val="9"/>
        <rFont val="Calibri"/>
        <family val="1"/>
      </rPr>
      <t>DS-2CE70D0T-PTLTS</t>
    </r>
  </si>
  <si>
    <r>
      <rPr>
        <b/>
        <sz val="9"/>
        <rFont val="Calibri"/>
        <family val="1"/>
      </rPr>
      <t>DS-2CE16K0T-LPTS</t>
    </r>
  </si>
  <si>
    <r>
      <rPr>
        <b/>
        <sz val="9"/>
        <rFont val="Calibri"/>
        <family val="1"/>
      </rPr>
      <t>DS-2CE78K0T-LTS</t>
    </r>
  </si>
  <si>
    <r>
      <rPr>
        <b/>
        <sz val="9"/>
        <rFont val="Calibri"/>
        <family val="1"/>
      </rPr>
      <t>DS-2CE70DF3T-PTS</t>
    </r>
  </si>
  <si>
    <r>
      <rPr>
        <b/>
        <sz val="9"/>
        <rFont val="Calibri"/>
        <family val="1"/>
      </rPr>
      <t>DS-2CE76D0T-LPFS</t>
    </r>
  </si>
  <si>
    <r>
      <rPr>
        <b/>
        <sz val="9"/>
        <rFont val="Calibri"/>
        <family val="1"/>
      </rPr>
      <t>DS-2CE16D0T-LPFS</t>
    </r>
  </si>
  <si>
    <r>
      <rPr>
        <b/>
        <sz val="9"/>
        <rFont val="Calibri"/>
        <family val="1"/>
      </rPr>
      <t>DS-2CE76G0T-LPFS</t>
    </r>
  </si>
  <si>
    <r>
      <rPr>
        <b/>
        <sz val="9"/>
        <rFont val="Calibri"/>
        <family val="1"/>
      </rPr>
      <t>DS-2CE16G0T-LPFS</t>
    </r>
  </si>
  <si>
    <r>
      <rPr>
        <b/>
        <sz val="9"/>
        <rFont val="Calibri"/>
        <family val="1"/>
      </rPr>
      <t>DS-2CE76K0T-LPFS</t>
    </r>
  </si>
  <si>
    <r>
      <rPr>
        <b/>
        <sz val="9"/>
        <rFont val="Calibri"/>
        <family val="1"/>
      </rPr>
      <t>DS-2CE16K0T-LPFS</t>
    </r>
  </si>
  <si>
    <r>
      <rPr>
        <b/>
        <sz val="9"/>
        <color rgb="FFFFFFFF"/>
        <rFont val="Calibri"/>
        <family val="1"/>
      </rPr>
      <t>ECO DVR 2MP</t>
    </r>
  </si>
  <si>
    <r>
      <rPr>
        <b/>
        <sz val="9"/>
        <rFont val="Calibri"/>
        <family val="1"/>
      </rPr>
      <t>DS-7104HGHI-M1/T</t>
    </r>
  </si>
  <si>
    <r>
      <rPr>
        <b/>
        <sz val="9"/>
        <rFont val="Calibri"/>
        <family val="1"/>
      </rPr>
      <t>4 CH</t>
    </r>
  </si>
  <si>
    <r>
      <rPr>
        <b/>
        <sz val="9"/>
        <rFont val="Calibri"/>
        <family val="1"/>
      </rPr>
      <t>TWO WAY TALK ENABLE, BNC interface, 1080p@15 fps, IP Cam up to 2MP 1-ch, H.265+,
Input</t>
    </r>
  </si>
  <si>
    <r>
      <rPr>
        <b/>
        <sz val="9"/>
        <rFont val="Calibri"/>
        <family val="1"/>
      </rPr>
      <t>DS-7108HGHI-M1/T</t>
    </r>
  </si>
  <si>
    <r>
      <rPr>
        <b/>
        <sz val="9"/>
        <rFont val="Calibri"/>
        <family val="1"/>
      </rPr>
      <t>8 CH</t>
    </r>
  </si>
  <si>
    <r>
      <rPr>
        <b/>
        <sz val="9"/>
        <rFont val="Calibri"/>
        <family val="1"/>
      </rPr>
      <t>TWO WAY TALK ENABLE, BNC interface, 1080p@15 fps, IP Cam up to 2MP 2-ch, H.265+,
Input</t>
    </r>
  </si>
  <si>
    <r>
      <rPr>
        <b/>
        <sz val="9"/>
        <rFont val="Calibri"/>
        <family val="1"/>
      </rPr>
      <t>DS-7116HGHI-M1/T</t>
    </r>
  </si>
  <si>
    <r>
      <rPr>
        <b/>
        <sz val="9"/>
        <rFont val="Calibri"/>
        <family val="1"/>
      </rPr>
      <t>16 CH</t>
    </r>
  </si>
  <si>
    <r>
      <rPr>
        <b/>
        <sz val="9"/>
        <rFont val="Calibri"/>
        <family val="1"/>
      </rPr>
      <t>TWO WAY TALK ENABLE, BNC interface, 1080p@15 fps, IP Cam up to 5MP 2-ch, H.265+,
Input</t>
    </r>
  </si>
  <si>
    <r>
      <rPr>
        <b/>
        <sz val="9"/>
        <color rgb="FFFFFFFF"/>
        <rFont val="Calibri"/>
        <family val="1"/>
      </rPr>
      <t>Standard DVR 4MP</t>
    </r>
  </si>
  <si>
    <r>
      <rPr>
        <b/>
        <sz val="9"/>
        <rFont val="Calibri"/>
        <family val="1"/>
      </rPr>
      <t>iDS-7104HQHI-M1/S</t>
    </r>
  </si>
  <si>
    <r>
      <rPr>
        <b/>
        <sz val="9"/>
        <rFont val="Calibri"/>
        <family val="1"/>
      </rPr>
      <t>4 MP</t>
    </r>
  </si>
  <si>
    <r>
      <rPr>
        <b/>
        <sz val="9"/>
        <rFont val="Calibri"/>
        <family val="1"/>
      </rPr>
      <t>4mp@15fps &amp; 1080p@25fps, IP Cam up to 6MP 2-ch, H.265+, 5-in-1 Video Input, A</t>
    </r>
  </si>
  <si>
    <r>
      <rPr>
        <b/>
        <sz val="9"/>
        <rFont val="Calibri"/>
        <family val="1"/>
      </rPr>
      <t>iDS-7108HQHI-M1/S</t>
    </r>
  </si>
  <si>
    <r>
      <rPr>
        <b/>
        <sz val="9"/>
        <rFont val="Calibri"/>
        <family val="1"/>
      </rPr>
      <t>4mp@15fps &amp; 1080p@25fps, IP Cam up to 6MP 4-ch, H.265+, 5-in-1 Video Input, A</t>
    </r>
  </si>
  <si>
    <r>
      <rPr>
        <b/>
        <sz val="9"/>
        <rFont val="Calibri"/>
        <family val="1"/>
      </rPr>
      <t>iDS-7208HQHI-M2/FA</t>
    </r>
  </si>
  <si>
    <r>
      <rPr>
        <b/>
        <sz val="9"/>
        <rFont val="Calibri"/>
        <family val="1"/>
      </rPr>
      <t>4mp@15fps &amp; 1080p@25fps, IP Cam up to 6MP 4-ch, H.265+, 5-in-1 Video Input,1 Ch Fa</t>
    </r>
  </si>
  <si>
    <r>
      <rPr>
        <b/>
        <sz val="9"/>
        <rFont val="Calibri"/>
        <family val="1"/>
      </rPr>
      <t>iDS-7116HQHI-M1/S</t>
    </r>
  </si>
  <si>
    <r>
      <rPr>
        <b/>
        <sz val="9"/>
        <rFont val="Calibri"/>
        <family val="1"/>
      </rPr>
      <t>4mp @15fps, IP Cam up to 6MP 8-ch, H.265+, 5-in-1, 16-ch Audio Cam Sup, AcuS</t>
    </r>
  </si>
  <si>
    <r>
      <rPr>
        <b/>
        <sz val="9"/>
        <rFont val="Calibri"/>
        <family val="1"/>
      </rPr>
      <t>iDS-7104HQHI-M1/T</t>
    </r>
  </si>
  <si>
    <r>
      <rPr>
        <b/>
        <sz val="9"/>
        <rFont val="Calibri"/>
        <family val="1"/>
      </rPr>
      <t>Plastic Body, TWO WAY TALK ENABLE, IP Cam up to 6MP 2-ch, H.265+, 5-in-1, 4-ch Audio
Face, AcuSense</t>
    </r>
  </si>
  <si>
    <r>
      <rPr>
        <b/>
        <sz val="9"/>
        <rFont val="Calibri"/>
        <family val="1"/>
      </rPr>
      <t>iDS-7108HQHI-M1/T</t>
    </r>
  </si>
  <si>
    <r>
      <rPr>
        <b/>
        <sz val="9"/>
        <rFont val="Calibri"/>
        <family val="1"/>
      </rPr>
      <t>Plastic Body, TWO WAY TALK ENABLE, IP Cam up to 6MP 4-ch, H.265+, 5-in-1, 8-ch Audi
Ch Face, AcuSense</t>
    </r>
  </si>
  <si>
    <r>
      <rPr>
        <b/>
        <sz val="9"/>
        <rFont val="Calibri"/>
        <family val="1"/>
      </rPr>
      <t>iDS-7116HQHI-M1/T</t>
    </r>
  </si>
  <si>
    <r>
      <rPr>
        <b/>
        <sz val="9"/>
        <rFont val="Calibri"/>
        <family val="1"/>
      </rPr>
      <t>Plastic Body, TWO WAY TALK ENABLE, IP Cam up to 6MP 8-ch, H.265+, 5-in-1, 16-ch Two Way Audio S
,AcuSense</t>
    </r>
  </si>
  <si>
    <r>
      <rPr>
        <b/>
        <sz val="9"/>
        <rFont val="Calibri"/>
        <family val="1"/>
      </rPr>
      <t>iDS-7204HQHI-M1/XT</t>
    </r>
  </si>
  <si>
    <r>
      <rPr>
        <b/>
        <sz val="9"/>
        <rFont val="Calibri"/>
        <family val="1"/>
      </rPr>
      <t>Metal Body, IP Cam up to 6MP 2-ch, H.265+, 5-in-1, 4-ch Audio Cam Sup,1 Ch Face, A</t>
    </r>
  </si>
  <si>
    <r>
      <rPr>
        <b/>
        <sz val="9"/>
        <rFont val="Calibri"/>
        <family val="1"/>
      </rPr>
      <t>iDS-7208HQHI-M1/XT</t>
    </r>
  </si>
  <si>
    <r>
      <rPr>
        <b/>
        <sz val="9"/>
        <rFont val="Calibri"/>
        <family val="1"/>
      </rPr>
      <t>Metal Body, IP Cam up to 6MP 4-ch, H.265+, 5-in-1, 8-ch Audio Cam Sup, 2 Ch Face, A</t>
    </r>
  </si>
  <si>
    <r>
      <rPr>
        <b/>
        <sz val="9"/>
        <rFont val="Calibri"/>
        <family val="1"/>
      </rPr>
      <t>iDS-7216HQHI-M1/XT</t>
    </r>
  </si>
  <si>
    <r>
      <rPr>
        <b/>
        <sz val="9"/>
        <rFont val="Calibri"/>
        <family val="1"/>
      </rPr>
      <t>Metal Body, IP Cam up to 6MP 8-ch, H.265+, 5-in-1, 16-ch Two Way Audio Support, 4 Ch
,AcuSense</t>
    </r>
  </si>
  <si>
    <r>
      <rPr>
        <b/>
        <sz val="9"/>
        <rFont val="Calibri"/>
        <family val="1"/>
      </rPr>
      <t>iDS-7216HQHI-M2/XT</t>
    </r>
  </si>
  <si>
    <r>
      <rPr>
        <b/>
        <sz val="9"/>
        <rFont val="Calibri"/>
        <family val="1"/>
      </rPr>
      <t>DS-7232HGHI-M2</t>
    </r>
  </si>
  <si>
    <r>
      <rPr>
        <b/>
        <sz val="9"/>
        <rFont val="Calibri"/>
        <family val="1"/>
      </rPr>
      <t>32 CH</t>
    </r>
  </si>
  <si>
    <r>
      <rPr>
        <b/>
        <sz val="9"/>
        <rFont val="Calibri"/>
        <family val="1"/>
      </rPr>
      <t>Metal Body, 720P/1080P Lite@15 fps, IP Cam upto 5MP 2 Ch, H.265+, 32ch Audio Via
Acusense</t>
    </r>
  </si>
  <si>
    <r>
      <rPr>
        <b/>
        <sz val="9"/>
        <rFont val="Calibri"/>
        <family val="1"/>
      </rPr>
      <t>iDS-7232HQHI-M2/XT</t>
    </r>
  </si>
  <si>
    <r>
      <rPr>
        <b/>
        <sz val="9"/>
        <rFont val="Calibri"/>
        <family val="1"/>
      </rPr>
      <t>Metal Body, IP Cam up to 6MP 8-ch, H.265+, 5-in-1, 16-ch Audio Cam Sup, AcuS</t>
    </r>
  </si>
  <si>
    <r>
      <rPr>
        <b/>
        <sz val="9"/>
        <color rgb="FFFFFFFF"/>
        <rFont val="Calibri"/>
        <family val="1"/>
      </rPr>
      <t>Standard DVR 8MP</t>
    </r>
  </si>
  <si>
    <r>
      <rPr>
        <b/>
        <sz val="9"/>
        <rFont val="Calibri"/>
        <family val="1"/>
      </rPr>
      <t>iDS-7204HUHI-M1/X</t>
    </r>
  </si>
  <si>
    <r>
      <rPr>
        <b/>
        <sz val="9"/>
        <rFont val="Calibri"/>
        <family val="1"/>
      </rPr>
      <t>8 MP</t>
    </r>
  </si>
  <si>
    <r>
      <rPr>
        <b/>
        <sz val="9"/>
        <rFont val="Calibri"/>
        <family val="1"/>
      </rPr>
      <t>Metal Body, IP Cam up to 8MP 2-ch, 8 MP@15 fps, 5 MP@20 fps, 4-ch Audio, Acu</t>
    </r>
  </si>
  <si>
    <r>
      <rPr>
        <b/>
        <sz val="9"/>
        <rFont val="Calibri"/>
        <family val="1"/>
      </rPr>
      <t>iDS-7208HUHI-M1/X</t>
    </r>
  </si>
  <si>
    <r>
      <rPr>
        <b/>
        <sz val="9"/>
        <rFont val="Calibri"/>
        <family val="1"/>
      </rPr>
      <t>Metal Body, IP Cam up to 8MP 4-ch, 8 MP@15 fps, 5 MP@20 fps, 8-ch Audio, Acu</t>
    </r>
  </si>
  <si>
    <r>
      <rPr>
        <b/>
        <sz val="9"/>
        <rFont val="Calibri"/>
        <family val="1"/>
      </rPr>
      <t>iDS-7208HUHI-M1/T</t>
    </r>
  </si>
  <si>
    <r>
      <rPr>
        <b/>
        <sz val="9"/>
        <rFont val="Calibri"/>
        <family val="1"/>
      </rPr>
      <t>Metal Body, TWO WAY TALK ENABLE, IP Cam up to 8MP 4-ch, 8 MP@15 fps, 5 MP@20 fp
AcuSense</t>
    </r>
  </si>
  <si>
    <r>
      <rPr>
        <b/>
        <sz val="9"/>
        <rFont val="Calibri"/>
        <family val="1"/>
      </rPr>
      <t>iDS-7208HUHI-M2/X</t>
    </r>
  </si>
  <si>
    <r>
      <rPr>
        <b/>
        <sz val="9"/>
        <rFont val="Calibri"/>
        <family val="1"/>
      </rPr>
      <t>iDS-7216HUHI-M2/X</t>
    </r>
  </si>
  <si>
    <r>
      <rPr>
        <b/>
        <sz val="9"/>
        <rFont val="Calibri"/>
        <family val="1"/>
      </rPr>
      <t>Metal Body, IP Cam up to 8MP 8-ch, 8 MP@15 fps, 5 MP@20 fps, 16-ch Audio Two w
AcuSense</t>
    </r>
  </si>
  <si>
    <r>
      <rPr>
        <b/>
        <i/>
        <sz val="9"/>
        <color rgb="FFFFFFFF"/>
        <rFont val="Calibri"/>
        <family val="1"/>
      </rPr>
      <t>Hikvision SMPS &amp; 3+1 Cables</t>
    </r>
  </si>
  <si>
    <r>
      <rPr>
        <b/>
        <i/>
        <sz val="9"/>
        <color rgb="FFFFFFFF"/>
        <rFont val="Calibri"/>
        <family val="1"/>
      </rPr>
      <t>SL No</t>
    </r>
  </si>
  <si>
    <r>
      <rPr>
        <b/>
        <i/>
        <sz val="9"/>
        <color rgb="FFFFFFFF"/>
        <rFont val="Calibri"/>
        <family val="1"/>
      </rPr>
      <t>Model Number</t>
    </r>
  </si>
  <si>
    <r>
      <rPr>
        <b/>
        <i/>
        <sz val="9"/>
        <color rgb="FFFFFFFF"/>
        <rFont val="Calibri"/>
        <family val="1"/>
      </rPr>
      <t>Output</t>
    </r>
  </si>
  <si>
    <r>
      <rPr>
        <b/>
        <i/>
        <sz val="9"/>
        <color rgb="FFFFFFFF"/>
        <rFont val="Calibri"/>
        <family val="1"/>
      </rPr>
      <t>Housing</t>
    </r>
  </si>
  <si>
    <r>
      <rPr>
        <b/>
        <i/>
        <sz val="9"/>
        <color rgb="FFFFFFFF"/>
        <rFont val="Calibri"/>
        <family val="1"/>
      </rPr>
      <t>Product Specifications</t>
    </r>
  </si>
  <si>
    <r>
      <rPr>
        <b/>
        <sz val="9"/>
        <rFont val="Calibri"/>
        <family val="1"/>
      </rPr>
      <t>DS-2FA1205-DW-IN</t>
    </r>
  </si>
  <si>
    <r>
      <rPr>
        <b/>
        <i/>
        <sz val="9"/>
        <rFont val="Calibri"/>
        <family val="1"/>
      </rPr>
      <t>5 Amp</t>
    </r>
  </si>
  <si>
    <r>
      <rPr>
        <b/>
        <sz val="9"/>
        <rFont val="Calibri"/>
        <family val="1"/>
      </rPr>
      <t>Metal</t>
    </r>
  </si>
  <si>
    <r>
      <rPr>
        <b/>
        <sz val="9"/>
        <rFont val="Calibri"/>
        <family val="1"/>
      </rPr>
      <t>Output Screw - 2 (One +V and One -V), Wall Mountable, 12VDC</t>
    </r>
  </si>
  <si>
    <r>
      <rPr>
        <b/>
        <sz val="9"/>
        <rFont val="Calibri"/>
        <family val="1"/>
      </rPr>
      <t>DS-2FA120A-DW-IN</t>
    </r>
  </si>
  <si>
    <r>
      <rPr>
        <b/>
        <i/>
        <sz val="9"/>
        <rFont val="Calibri"/>
        <family val="1"/>
      </rPr>
      <t>10 Amp</t>
    </r>
  </si>
  <si>
    <r>
      <rPr>
        <b/>
        <sz val="9"/>
        <rFont val="Calibri"/>
        <family val="1"/>
      </rPr>
      <t>Output Screw - 4 (Two +V and Two -V) , Wall Mountable, 12VDC</t>
    </r>
  </si>
  <si>
    <r>
      <rPr>
        <b/>
        <sz val="9"/>
        <rFont val="Calibri"/>
        <family val="1"/>
      </rPr>
      <t>DS-2FA120K-DW-IN</t>
    </r>
  </si>
  <si>
    <r>
      <rPr>
        <b/>
        <i/>
        <sz val="9"/>
        <rFont val="Calibri"/>
        <family val="1"/>
      </rPr>
      <t>20 Amp</t>
    </r>
  </si>
  <si>
    <r>
      <rPr>
        <b/>
        <i/>
        <sz val="9"/>
        <color rgb="FFFFFFFF"/>
        <rFont val="Calibri"/>
        <family val="1"/>
      </rPr>
      <t>Length</t>
    </r>
  </si>
  <si>
    <r>
      <rPr>
        <b/>
        <i/>
        <sz val="9"/>
        <color rgb="FFFFFFFF"/>
        <rFont val="Calibri"/>
        <family val="1"/>
      </rPr>
      <t>Metal</t>
    </r>
  </si>
  <si>
    <r>
      <rPr>
        <b/>
        <sz val="9"/>
        <rFont val="Calibri"/>
        <family val="1"/>
      </rPr>
      <t>DS-1LH1SCA3C-090B</t>
    </r>
  </si>
  <si>
    <r>
      <rPr>
        <b/>
        <i/>
        <sz val="9"/>
        <rFont val="Calibri"/>
        <family val="1"/>
      </rPr>
      <t>90 mtr</t>
    </r>
  </si>
  <si>
    <r>
      <rPr>
        <b/>
        <sz val="9"/>
        <rFont val="Calibri"/>
        <family val="1"/>
      </rPr>
      <t>Copper</t>
    </r>
  </si>
  <si>
    <r>
      <rPr>
        <b/>
        <sz val="9"/>
        <rFont val="Calibri"/>
        <family val="1"/>
      </rPr>
      <t>Jacket - Flat, Material - PVC, Impedance - 75ohms, Braiding Density ≥80%, 99% C</t>
    </r>
  </si>
  <si>
    <r>
      <rPr>
        <b/>
        <sz val="9"/>
        <rFont val="Calibri"/>
        <family val="1"/>
      </rPr>
      <t>DS-1LH1SCAM593C</t>
    </r>
  </si>
  <si>
    <r>
      <rPr>
        <b/>
        <i/>
        <sz val="9"/>
        <rFont val="Calibri"/>
        <family val="1"/>
      </rPr>
      <t>180 mtr</t>
    </r>
  </si>
  <si>
    <r>
      <rPr>
        <b/>
        <sz val="9"/>
        <rFont val="Calibri"/>
        <family val="1"/>
      </rPr>
      <t>PT-CMR59P-090/B</t>
    </r>
  </si>
  <si>
    <r>
      <rPr>
        <b/>
        <sz val="9"/>
        <color rgb="FF2D75B5"/>
        <rFont val="Calibri"/>
        <family val="1"/>
      </rPr>
      <t>Brand - PRAMA</t>
    </r>
    <r>
      <rPr>
        <b/>
        <sz val="9"/>
        <rFont val="Calibri"/>
        <family val="1"/>
      </rPr>
      <t>, Jacket - White, Round, Material -PVC, Colour Code - Red, Yellow</t>
    </r>
  </si>
  <si>
    <r>
      <rPr>
        <b/>
        <sz val="9"/>
        <rFont val="Calibri"/>
        <family val="1"/>
      </rPr>
      <t>PT-CMR59P-180/B</t>
    </r>
  </si>
  <si>
    <r>
      <rPr>
        <b/>
        <sz val="9"/>
        <rFont val="Calibri"/>
        <family val="1"/>
      </rPr>
      <t>PT-CLN6-P/G</t>
    </r>
  </si>
  <si>
    <r>
      <rPr>
        <b/>
        <i/>
        <sz val="9"/>
        <rFont val="Calibri"/>
        <family val="1"/>
      </rPr>
      <t>305 mtr</t>
    </r>
  </si>
  <si>
    <r>
      <rPr>
        <b/>
        <sz val="9"/>
        <rFont val="Calibri"/>
        <family val="1"/>
      </rPr>
      <t>Material - PVC, Colour Code- Grey, 24.50 AWG, 99% Copper, CAT 6</t>
    </r>
  </si>
  <si>
    <r>
      <rPr>
        <b/>
        <sz val="9"/>
        <rFont val="Calibri"/>
        <family val="1"/>
      </rPr>
      <t>DS-1LN6UZC0</t>
    </r>
  </si>
  <si>
    <r>
      <rPr>
        <b/>
        <sz val="9"/>
        <rFont val="Calibri"/>
        <family val="1"/>
      </rPr>
      <t>Material - PVC, Colour Code- Grey, 23 AWG, 99% Copper, CAT 6</t>
    </r>
  </si>
  <si>
    <r>
      <rPr>
        <b/>
        <i/>
        <sz val="9"/>
        <color rgb="FFFFFFFF"/>
        <rFont val="Calibri"/>
        <family val="1"/>
      </rPr>
      <t>Hikvision  NVRs</t>
    </r>
  </si>
  <si>
    <r>
      <rPr>
        <b/>
        <i/>
        <sz val="9"/>
        <color rgb="FFFFFFFF"/>
        <rFont val="Calibri"/>
        <family val="1"/>
      </rPr>
      <t>Input</t>
    </r>
  </si>
  <si>
    <r>
      <rPr>
        <b/>
        <i/>
        <sz val="9"/>
        <color rgb="FFFFFFFF"/>
        <rFont val="Calibri"/>
        <family val="1"/>
      </rPr>
      <t>Mbps</t>
    </r>
  </si>
  <si>
    <r>
      <rPr>
        <b/>
        <sz val="9"/>
        <color rgb="FFFFFFFF"/>
        <rFont val="Calibri"/>
        <family val="1"/>
      </rPr>
      <t>Q-Series NVR</t>
    </r>
  </si>
  <si>
    <r>
      <rPr>
        <b/>
        <sz val="9"/>
        <rFont val="Calibri"/>
        <family val="1"/>
      </rPr>
      <t>DS-7104NI-Q1/M</t>
    </r>
  </si>
  <si>
    <r>
      <rPr>
        <b/>
        <i/>
        <sz val="9"/>
        <rFont val="Calibri"/>
        <family val="1"/>
      </rPr>
      <t>4 CH</t>
    </r>
  </si>
  <si>
    <r>
      <rPr>
        <b/>
        <sz val="9"/>
        <rFont val="Calibri"/>
        <family val="1"/>
      </rPr>
      <t>40 Mbps</t>
    </r>
  </si>
  <si>
    <r>
      <rPr>
        <b/>
        <sz val="9"/>
        <rFont val="Calibri"/>
        <family val="1"/>
      </rPr>
      <t>H.265+, Up to 2MP Support, 60Mbps Outgoing Bandwidth, 1-ch 10/100 RJ45</t>
    </r>
  </si>
  <si>
    <r>
      <rPr>
        <b/>
        <sz val="9"/>
        <rFont val="Calibri"/>
        <family val="1"/>
      </rPr>
      <t>DS-7108NI-Q1/M</t>
    </r>
  </si>
  <si>
    <r>
      <rPr>
        <b/>
        <i/>
        <sz val="9"/>
        <rFont val="Calibri"/>
        <family val="1"/>
      </rPr>
      <t>8 CH</t>
    </r>
  </si>
  <si>
    <r>
      <rPr>
        <b/>
        <sz val="9"/>
        <rFont val="Calibri"/>
        <family val="1"/>
      </rPr>
      <t>60 Mbps</t>
    </r>
  </si>
  <si>
    <r>
      <rPr>
        <b/>
        <sz val="9"/>
        <rFont val="Calibri"/>
        <family val="1"/>
      </rPr>
      <t>DS-7116NI-Q1/M</t>
    </r>
  </si>
  <si>
    <r>
      <rPr>
        <b/>
        <i/>
        <sz val="9"/>
        <rFont val="Calibri"/>
        <family val="1"/>
      </rPr>
      <t>16 CH</t>
    </r>
  </si>
  <si>
    <r>
      <rPr>
        <b/>
        <sz val="9"/>
        <rFont val="Calibri"/>
        <family val="1"/>
      </rPr>
      <t>160 Mbps</t>
    </r>
  </si>
  <si>
    <r>
      <rPr>
        <b/>
        <sz val="9"/>
        <rFont val="Calibri"/>
        <family val="1"/>
      </rPr>
      <t>H.265+, Up to 4MP Support( 3CH), 4K Enabled, 80Mbps Outgoing Bandwidth, 1-ch G</t>
    </r>
  </si>
  <si>
    <r>
      <rPr>
        <b/>
        <sz val="9"/>
        <rFont val="Calibri"/>
        <family val="1"/>
      </rPr>
      <t>DS-7604NI-Q1</t>
    </r>
  </si>
  <si>
    <r>
      <rPr>
        <b/>
        <sz val="9"/>
        <rFont val="Calibri"/>
        <family val="1"/>
      </rPr>
      <t>H.265+, Up to 4MP Support, 4K Enabled, 80Mbps Outgoing Bandwidth, 1-ch 10/10</t>
    </r>
  </si>
  <si>
    <r>
      <rPr>
        <b/>
        <sz val="9"/>
        <rFont val="Calibri"/>
        <family val="1"/>
      </rPr>
      <t>DS-7608NI-Q1</t>
    </r>
  </si>
  <si>
    <r>
      <rPr>
        <b/>
        <sz val="9"/>
        <rFont val="Calibri"/>
        <family val="1"/>
      </rPr>
      <t>80 Mbps</t>
    </r>
  </si>
  <si>
    <r>
      <rPr>
        <b/>
        <sz val="9"/>
        <rFont val="Calibri"/>
        <family val="1"/>
      </rPr>
      <t>DS-7616NI-Q1</t>
    </r>
  </si>
  <si>
    <r>
      <rPr>
        <b/>
        <sz val="9"/>
        <rFont val="Calibri"/>
        <family val="1"/>
      </rPr>
      <t>H.265+, Up to 4MP Support, 4K Enabled, 80Mbps Outgoing Bandwidth, 1-ch Giga</t>
    </r>
  </si>
  <si>
    <r>
      <rPr>
        <b/>
        <sz val="9"/>
        <rFont val="Calibri"/>
        <family val="1"/>
      </rPr>
      <t>DS-7608NI-Q2</t>
    </r>
  </si>
  <si>
    <r>
      <rPr>
        <b/>
        <sz val="9"/>
        <rFont val="Calibri"/>
        <family val="1"/>
      </rPr>
      <t>DS-7616NI-Q2</t>
    </r>
  </si>
  <si>
    <r>
      <rPr>
        <b/>
        <sz val="9"/>
        <rFont val="Calibri"/>
        <family val="1"/>
      </rPr>
      <t>DS-7716NI-Q4</t>
    </r>
  </si>
  <si>
    <r>
      <rPr>
        <b/>
        <sz val="9"/>
        <color rgb="FFFFFFFF"/>
        <rFont val="Calibri"/>
        <family val="1"/>
      </rPr>
      <t>K-Series NVR</t>
    </r>
  </si>
  <si>
    <r>
      <rPr>
        <b/>
        <sz val="9"/>
        <rFont val="Calibri"/>
        <family val="1"/>
      </rPr>
      <t>DS-7604NXI-K1</t>
    </r>
  </si>
  <si>
    <r>
      <rPr>
        <b/>
        <sz val="9"/>
        <rFont val="Calibri"/>
        <family val="1"/>
      </rPr>
      <t>AcuSense, H.265+, Up to 8MP Support, 4K Enabled, 40Mbps Branding, 1-ch Giga</t>
    </r>
  </si>
  <si>
    <r>
      <rPr>
        <b/>
        <sz val="9"/>
        <rFont val="Calibri"/>
        <family val="1"/>
      </rPr>
      <t>DS-7608NXI-K1</t>
    </r>
  </si>
  <si>
    <r>
      <rPr>
        <b/>
        <sz val="9"/>
        <rFont val="Calibri"/>
        <family val="1"/>
      </rPr>
      <t>AcuSense, H.265+, Up to 8MP Support, 4K Enabled, 80Mbps Banding, 1-ch Giga</t>
    </r>
  </si>
  <si>
    <r>
      <rPr>
        <b/>
        <sz val="9"/>
        <rFont val="Calibri"/>
        <family val="1"/>
      </rPr>
      <t>DS-7616NXI-K1</t>
    </r>
  </si>
  <si>
    <r>
      <rPr>
        <b/>
        <sz val="9"/>
        <rFont val="Calibri"/>
        <family val="1"/>
      </rPr>
      <t>AcuSense, H.265+, Up to 8MP Support, 4K Enabled, 160Mbps Banding, 1-ch Giga</t>
    </r>
  </si>
  <si>
    <r>
      <rPr>
        <b/>
        <sz val="9"/>
        <rFont val="Calibri"/>
        <family val="1"/>
      </rPr>
      <t>DS-7608NXI-K2</t>
    </r>
  </si>
  <si>
    <r>
      <rPr>
        <b/>
        <sz val="9"/>
        <rFont val="Calibri"/>
        <family val="1"/>
      </rPr>
      <t>AcuSense, H.265+, Up to 8MP Support, 4K Enabled, 80Mbps Bandwidth, 1-ch Gig</t>
    </r>
  </si>
  <si>
    <r>
      <rPr>
        <b/>
        <sz val="9"/>
        <rFont val="Calibri"/>
        <family val="1"/>
      </rPr>
      <t>DS-7616NXI-K2</t>
    </r>
  </si>
  <si>
    <r>
      <rPr>
        <b/>
        <sz val="9"/>
        <rFont val="Calibri"/>
        <family val="1"/>
      </rPr>
      <t>AcuSense, H.265+, Up to 8MP Support, 4K Enabled, 160Mbps Bandwidth, 1-ch Gig</t>
    </r>
  </si>
  <si>
    <r>
      <rPr>
        <b/>
        <sz val="9"/>
        <rFont val="Calibri"/>
        <family val="1"/>
      </rPr>
      <t>DS-7632NXI-K2</t>
    </r>
  </si>
  <si>
    <r>
      <rPr>
        <b/>
        <i/>
        <sz val="9"/>
        <rFont val="Calibri"/>
        <family val="1"/>
      </rPr>
      <t>32 CH</t>
    </r>
  </si>
  <si>
    <r>
      <rPr>
        <b/>
        <sz val="9"/>
        <rFont val="Calibri"/>
        <family val="1"/>
      </rPr>
      <t>256 Mbps</t>
    </r>
  </si>
  <si>
    <r>
      <rPr>
        <b/>
        <sz val="9"/>
        <rFont val="Calibri"/>
        <family val="1"/>
      </rPr>
      <t>AcuSense, H.265+, Up to 8MP Support, 4K Enabled, 256Mbps Bandwidth, 1-ch Gig</t>
    </r>
  </si>
  <si>
    <r>
      <rPr>
        <b/>
        <sz val="9"/>
        <rFont val="Calibri"/>
        <family val="1"/>
      </rPr>
      <t>DS-7716NXI-K4</t>
    </r>
  </si>
  <si>
    <r>
      <rPr>
        <b/>
        <sz val="9"/>
        <rFont val="Calibri"/>
        <family val="1"/>
      </rPr>
      <t>Acusense,H.265+, Up to 8MP Support, 4K Enabled, 160Mbps Bandwidth, 1-ch Gig</t>
    </r>
  </si>
  <si>
    <r>
      <rPr>
        <b/>
        <sz val="9"/>
        <rFont val="Calibri"/>
        <family val="1"/>
      </rPr>
      <t>DS-7732NXI-K4</t>
    </r>
  </si>
  <si>
    <r>
      <rPr>
        <b/>
        <sz val="9"/>
        <rFont val="Calibri"/>
        <family val="1"/>
      </rPr>
      <t>Acusense,H.265+, Up to 8MP Support, 4K Enabled, 256Mbps Bandwidth, 1-ch Gig</t>
    </r>
  </si>
  <si>
    <r>
      <rPr>
        <b/>
        <sz val="9"/>
        <rFont val="Calibri"/>
        <family val="1"/>
      </rPr>
      <t>DS-8632NXI-K8</t>
    </r>
  </si>
  <si>
    <r>
      <rPr>
        <b/>
        <sz val="9"/>
        <rFont val="Calibri"/>
        <family val="1"/>
      </rPr>
      <t>Acusense,H.265+, Up to 8MP Support, 4K Enabled, 256 Mbps Bandwidth, 1-ch Gig</t>
    </r>
  </si>
  <si>
    <r>
      <rPr>
        <b/>
        <sz val="9"/>
        <rFont val="Calibri"/>
        <family val="1"/>
      </rPr>
      <t>DS-7764NI-M4</t>
    </r>
  </si>
  <si>
    <r>
      <rPr>
        <b/>
        <i/>
        <sz val="9"/>
        <rFont val="Calibri"/>
        <family val="1"/>
      </rPr>
      <t>64 CH</t>
    </r>
  </si>
  <si>
    <r>
      <rPr>
        <b/>
        <sz val="9"/>
        <rFont val="Calibri"/>
        <family val="1"/>
      </rPr>
      <t>400 Mbps</t>
    </r>
  </si>
  <si>
    <r>
      <rPr>
        <b/>
        <sz val="9"/>
        <rFont val="Calibri"/>
        <family val="1"/>
      </rPr>
      <t>Acusense,H.265+, Up to 8MP Support, 4K Enabled, 400Mbps Bandwidth, 2-ch Gig</t>
    </r>
  </si>
  <si>
    <r>
      <rPr>
        <b/>
        <i/>
        <sz val="9"/>
        <color rgb="FFFFFFFF"/>
        <rFont val="Calibri"/>
        <family val="1"/>
      </rPr>
      <t>Hikvision Video Door Phone(VDP)</t>
    </r>
  </si>
  <si>
    <r>
      <rPr>
        <b/>
        <i/>
        <sz val="9"/>
        <color rgb="FFFFFFFF"/>
        <rFont val="Calibri"/>
        <family val="1"/>
      </rPr>
      <t>Shape</t>
    </r>
  </si>
  <si>
    <r>
      <rPr>
        <b/>
        <i/>
        <sz val="9"/>
        <color rgb="FFFFFFFF"/>
        <rFont val="Calibri"/>
        <family val="1"/>
      </rPr>
      <t>Screen Size</t>
    </r>
  </si>
  <si>
    <r>
      <rPr>
        <b/>
        <sz val="9"/>
        <color rgb="FFFFFFFF"/>
        <rFont val="Calibri"/>
        <family val="1"/>
      </rPr>
      <t>Analog VDP</t>
    </r>
  </si>
  <si>
    <r>
      <rPr>
        <b/>
        <sz val="9"/>
        <rFont val="Calibri"/>
        <family val="1"/>
      </rPr>
      <t>DS-KIS202T</t>
    </r>
  </si>
  <si>
    <r>
      <rPr>
        <b/>
        <i/>
        <sz val="9"/>
        <rFont val="Calibri"/>
        <family val="1"/>
      </rPr>
      <t>Kit</t>
    </r>
  </si>
  <si>
    <r>
      <rPr>
        <b/>
        <sz val="9"/>
        <rFont val="Calibri"/>
        <family val="1"/>
      </rPr>
      <t>7 inch</t>
    </r>
  </si>
  <si>
    <r>
      <rPr>
        <b/>
        <sz val="9"/>
        <rFont val="Calibri"/>
        <family val="1"/>
      </rPr>
      <t>Kit including Outdoor - DS-KB2411T-IM and Indoor - DS-KH2220, 1 relay outp</t>
    </r>
  </si>
  <si>
    <r>
      <rPr>
        <b/>
        <sz val="9"/>
        <rFont val="Calibri"/>
        <family val="1"/>
      </rPr>
      <t>DS-KIS204T</t>
    </r>
  </si>
  <si>
    <r>
      <rPr>
        <b/>
        <sz val="9"/>
        <rFont val="Calibri"/>
        <family val="1"/>
      </rPr>
      <t>Kit including DS-KB2411T-IM &amp; DS-KH2220-S, 1 relay output, 200 pic Library</t>
    </r>
  </si>
  <si>
    <r>
      <rPr>
        <b/>
        <sz val="9"/>
        <rFont val="Calibri"/>
        <family val="1"/>
      </rPr>
      <t>DS-KH2220-S</t>
    </r>
  </si>
  <si>
    <r>
      <rPr>
        <b/>
        <i/>
        <sz val="9"/>
        <rFont val="Calibri"/>
        <family val="1"/>
      </rPr>
      <t>Screen</t>
    </r>
  </si>
  <si>
    <r>
      <rPr>
        <b/>
        <sz val="9"/>
        <rFont val="Calibri"/>
        <family val="1"/>
      </rPr>
      <t>7-Inch Colorful TFT LCD, Physical Button, Microphone, Loudspeaker, 200 Image St</t>
    </r>
  </si>
  <si>
    <r>
      <rPr>
        <b/>
        <sz val="9"/>
        <color rgb="FFFFFFFF"/>
        <rFont val="Calibri"/>
        <family val="1"/>
      </rPr>
      <t>Network VDP</t>
    </r>
  </si>
  <si>
    <r>
      <rPr>
        <b/>
        <sz val="9"/>
        <rFont val="Calibri"/>
        <family val="1"/>
      </rPr>
      <t>DS-KIS602</t>
    </r>
  </si>
  <si>
    <r>
      <rPr>
        <b/>
        <sz val="9"/>
        <rFont val="Calibri"/>
        <family val="1"/>
      </rPr>
      <t>Kit Including DS-KD8003-IME1 &amp; DS-KH6320-WTE1, 2 Relay output, TF Card Sl</t>
    </r>
  </si>
  <si>
    <r>
      <rPr>
        <b/>
        <sz val="9"/>
        <rFont val="Calibri"/>
        <family val="1"/>
      </rPr>
      <t>DS-KIS603-P</t>
    </r>
  </si>
  <si>
    <r>
      <rPr>
        <b/>
        <sz val="9"/>
        <rFont val="Calibri"/>
        <family val="1"/>
      </rPr>
      <t>Wi-Fi &amp; LAN, 1 Relay output, TF Card Slot, 7-inch Colorful Touch Screen</t>
    </r>
  </si>
  <si>
    <r>
      <rPr>
        <b/>
        <sz val="9"/>
        <rFont val="Calibri"/>
        <family val="1"/>
      </rPr>
      <t>DS-KH6320-WTE1</t>
    </r>
  </si>
  <si>
    <r>
      <rPr>
        <b/>
        <sz val="9"/>
        <rFont val="Calibri"/>
        <family val="1"/>
      </rPr>
      <t>7-inch Colorful Touch Screen with Resolution 1024 × 600, TF Card Slot, 2 Relay ou</t>
    </r>
  </si>
  <si>
    <r>
      <rPr>
        <b/>
        <sz val="9"/>
        <rFont val="Calibri"/>
        <family val="1"/>
      </rPr>
      <t>DS-KV8413-WME1</t>
    </r>
  </si>
  <si>
    <r>
      <rPr>
        <b/>
        <i/>
        <sz val="9"/>
        <rFont val="Calibri"/>
        <family val="1"/>
      </rPr>
      <t>Outdoor</t>
    </r>
  </si>
  <si>
    <r>
      <rPr>
        <b/>
        <sz val="9"/>
        <rFont val="Calibri"/>
        <family val="1"/>
      </rPr>
      <t>---</t>
    </r>
  </si>
  <si>
    <r>
      <rPr>
        <b/>
        <sz val="9"/>
        <rFont val="Calibri"/>
        <family val="1"/>
      </rPr>
      <t>4 Button Villa Door Station, IP65, IK08, Low illumination IR 3 mtr, WDR, 2.4G W</t>
    </r>
  </si>
  <si>
    <r>
      <rPr>
        <b/>
        <i/>
        <sz val="9"/>
        <color rgb="FFFFFFFF"/>
        <rFont val="Calibri"/>
        <family val="1"/>
      </rPr>
      <t>Hikvision Access Control &amp; Biometrics</t>
    </r>
  </si>
  <si>
    <r>
      <rPr>
        <b/>
        <i/>
        <sz val="9"/>
        <color rgb="FFFFFFFF"/>
        <rFont val="Calibri"/>
        <family val="1"/>
      </rPr>
      <t>Face</t>
    </r>
  </si>
  <si>
    <r>
      <rPr>
        <b/>
        <i/>
        <sz val="9"/>
        <color rgb="FFFFFFFF"/>
        <rFont val="Calibri"/>
        <family val="1"/>
      </rPr>
      <t>Finger</t>
    </r>
  </si>
  <si>
    <r>
      <rPr>
        <b/>
        <sz val="9"/>
        <color rgb="FFFFFFFF"/>
        <rFont val="Calibri"/>
        <family val="1"/>
      </rPr>
      <t>Without Access Control (Attendance Only)</t>
    </r>
  </si>
  <si>
    <r>
      <rPr>
        <b/>
        <sz val="9"/>
        <rFont val="Calibri"/>
        <family val="1"/>
      </rPr>
      <t>DS-K1A8503EF</t>
    </r>
  </si>
  <si>
    <r>
      <rPr>
        <b/>
        <sz val="9"/>
        <rFont val="Calibri"/>
        <family val="1"/>
      </rPr>
      <t>Finger Print only, Event Logs - 100000, 2.4-inch TFT, LAN</t>
    </r>
  </si>
  <si>
    <r>
      <rPr>
        <b/>
        <sz val="9"/>
        <rFont val="Calibri"/>
        <family val="1"/>
      </rPr>
      <t>DS-K1A8503EF-B</t>
    </r>
  </si>
  <si>
    <r>
      <rPr>
        <b/>
        <sz val="9"/>
        <rFont val="Calibri"/>
        <family val="1"/>
      </rPr>
      <t>Finger Print only, Event Logs - 100000, 2.4-inch TFT, LAN, With Battery</t>
    </r>
  </si>
  <si>
    <r>
      <rPr>
        <b/>
        <sz val="9"/>
        <rFont val="Calibri"/>
        <family val="1"/>
      </rPr>
      <t>DS-K1A340WX</t>
    </r>
  </si>
  <si>
    <r>
      <rPr>
        <b/>
        <sz val="9"/>
        <rFont val="Calibri"/>
        <family val="1"/>
      </rPr>
      <t>Only Face, 4.3-inch Touchscreen, Recog. Distance -0.3m to 1.5m, Event Logs - 3Lak</t>
    </r>
  </si>
  <si>
    <r>
      <rPr>
        <b/>
        <sz val="9"/>
        <rFont val="Calibri"/>
        <family val="1"/>
      </rPr>
      <t>DS-K1A340FWX</t>
    </r>
  </si>
  <si>
    <r>
      <rPr>
        <b/>
        <sz val="9"/>
        <rFont val="Calibri"/>
        <family val="1"/>
      </rPr>
      <t>Face &amp; Finger, 4.3-inch Touch, Recog. Distance -0.3m to 1.5m, Event Logs - 3Lakh,</t>
    </r>
  </si>
  <si>
    <r>
      <rPr>
        <b/>
        <sz val="9"/>
        <color rgb="FFFFFFFF"/>
        <rFont val="Calibri"/>
        <family val="1"/>
      </rPr>
      <t>With Access Control</t>
    </r>
  </si>
  <si>
    <r>
      <rPr>
        <b/>
        <sz val="9"/>
        <rFont val="Calibri"/>
        <family val="1"/>
      </rPr>
      <t>DS-K1T8003MF</t>
    </r>
  </si>
  <si>
    <r>
      <rPr>
        <b/>
        <sz val="9"/>
        <rFont val="Calibri"/>
        <family val="1"/>
      </rPr>
      <t>DS-K1T320EWX</t>
    </r>
  </si>
  <si>
    <r>
      <rPr>
        <b/>
        <sz val="9"/>
        <rFont val="Calibri"/>
        <family val="1"/>
      </rPr>
      <t>2.4-inch Display, Recog. Distance -0.3m to 1.5m, Event Logs - 1 Lakh, LAN &amp; W</t>
    </r>
  </si>
  <si>
    <r>
      <rPr>
        <b/>
        <sz val="9"/>
        <rFont val="Calibri"/>
        <family val="1"/>
      </rPr>
      <t>DS-K1T320EFWX</t>
    </r>
  </si>
  <si>
    <r>
      <rPr>
        <b/>
        <sz val="9"/>
        <rFont val="Calibri"/>
        <family val="1"/>
      </rPr>
      <t>DS-K1T320EFWX-B</t>
    </r>
  </si>
  <si>
    <r>
      <rPr>
        <b/>
        <sz val="9"/>
        <rFont val="Calibri"/>
        <family val="1"/>
      </rPr>
      <t>2.4-inch Display, Recog. Distance -0.3m to 1.5m, Event Logs - 1 Lakh, LAN &amp; WiFi, wit</t>
    </r>
  </si>
  <si>
    <r>
      <rPr>
        <b/>
        <sz val="9"/>
        <rFont val="Calibri"/>
        <family val="1"/>
      </rPr>
      <t>DS-K1T331W  (Metal)</t>
    </r>
  </si>
  <si>
    <r>
      <rPr>
        <b/>
        <sz val="9"/>
        <rFont val="Calibri"/>
        <family val="1"/>
      </rPr>
      <t>3.97-inch Touchscreen, Recog. Distance -0.3m to 1.5m, Event Logs - 1 Lakh, LAN &amp;</t>
    </r>
  </si>
  <si>
    <r>
      <rPr>
        <b/>
        <sz val="9"/>
        <rFont val="Calibri"/>
        <family val="1"/>
      </rPr>
      <t>DS-K1T343EWX</t>
    </r>
  </si>
  <si>
    <r>
      <rPr>
        <b/>
        <sz val="9"/>
        <rFont val="Calibri"/>
        <family val="1"/>
      </rPr>
      <t>4.3-inch Touchscreen, Recog. Distance -0.3m to 1.5m, Event Logs - 1.5 Lakh, LAN &amp;</t>
    </r>
  </si>
  <si>
    <r>
      <rPr>
        <b/>
        <sz val="9"/>
        <rFont val="Calibri"/>
        <family val="1"/>
      </rPr>
      <t>DS-K1T343EFWX</t>
    </r>
  </si>
  <si>
    <r>
      <rPr>
        <b/>
        <sz val="9"/>
        <rFont val="Calibri"/>
        <family val="1"/>
      </rPr>
      <t>DS-K1T342EFWX</t>
    </r>
  </si>
  <si>
    <r>
      <rPr>
        <b/>
        <sz val="9"/>
        <rFont val="Calibri"/>
        <family val="1"/>
      </rPr>
      <t>4.3-inch Touchscreen, Distance -0.3m to 1.5m, Event Logs - 1.5 Lakh,  LAN &amp; WiFi,</t>
    </r>
  </si>
  <si>
    <r>
      <rPr>
        <b/>
        <sz val="9"/>
        <rFont val="Calibri"/>
        <family val="1"/>
      </rPr>
      <t>DS-K1T342MFWX</t>
    </r>
  </si>
  <si>
    <r>
      <rPr>
        <b/>
        <sz val="9"/>
        <rFont val="Calibri"/>
        <family val="1"/>
      </rPr>
      <t>DS-K1T341CMF  (Metal)</t>
    </r>
  </si>
  <si>
    <r>
      <rPr>
        <b/>
        <sz val="9"/>
        <rFont val="Calibri"/>
        <family val="1"/>
      </rPr>
      <t>4.3-inch Touchscreen, Recog. Distance -0.3m to 1.5m, Event Logs - 1.5 Lakh, LAN,</t>
    </r>
  </si>
  <si>
    <r>
      <rPr>
        <b/>
        <sz val="9"/>
        <rFont val="Calibri"/>
        <family val="1"/>
      </rPr>
      <t>DS-D5022QE-D</t>
    </r>
  </si>
  <si>
    <r>
      <rPr>
        <b/>
        <sz val="9"/>
        <rFont val="Calibri"/>
        <family val="1"/>
      </rPr>
      <t>22 Inch</t>
    </r>
  </si>
  <si>
    <r>
      <rPr>
        <b/>
        <sz val="9"/>
        <rFont val="Calibri"/>
        <family val="1"/>
      </rPr>
      <t>21.5", 1080P, HDMI/VGA Input, view angle 178°,Base Bracket Inclued,  VESA, 12V DC, W</t>
    </r>
  </si>
  <si>
    <r>
      <rPr>
        <b/>
        <sz val="9"/>
        <rFont val="Calibri"/>
        <family val="1"/>
      </rPr>
      <t>DS-D5032QE</t>
    </r>
  </si>
  <si>
    <r>
      <rPr>
        <b/>
        <sz val="9"/>
        <rFont val="Calibri"/>
        <family val="1"/>
      </rPr>
      <t>32 Inch</t>
    </r>
  </si>
  <si>
    <r>
      <rPr>
        <b/>
        <sz val="9"/>
        <rFont val="Calibri"/>
        <family val="1"/>
      </rPr>
      <t>31.5", 1080P, HDMI/VGA Input, view angle 178°,Base Bracket Included,  VESA, 12V DC, 1
24*7 Working hour</t>
    </r>
  </si>
  <si>
    <r>
      <rPr>
        <b/>
        <sz val="9"/>
        <rFont val="Calibri"/>
        <family val="1"/>
      </rPr>
      <t>DS-D5043QE</t>
    </r>
  </si>
  <si>
    <r>
      <rPr>
        <b/>
        <sz val="9"/>
        <rFont val="Calibri"/>
        <family val="1"/>
      </rPr>
      <t>43 Inch</t>
    </r>
  </si>
  <si>
    <r>
      <rPr>
        <b/>
        <sz val="9"/>
        <rFont val="Calibri"/>
        <family val="1"/>
      </rPr>
      <t>43", 1080P, HDMI/VGA Input, view angle 178°,Base Bracket Included,  VESA, 12V DC, 10
24*7 Working hour</t>
    </r>
  </si>
  <si>
    <t>Hikvision Monitors</t>
  </si>
  <si>
    <r>
      <rPr>
        <b/>
        <sz val="9"/>
        <color theme="0"/>
        <rFont val="Calibri"/>
        <family val="1"/>
      </rPr>
      <t>HD ECO Cameras</t>
    </r>
  </si>
  <si>
    <t>DIS. %</t>
  </si>
  <si>
    <t>ADD %</t>
  </si>
  <si>
    <r>
      <rPr>
        <b/>
        <sz val="9"/>
        <color rgb="FFFFFFFF"/>
        <rFont val="Times New Roman"/>
        <family val="1"/>
      </rPr>
      <t>SL No</t>
    </r>
  </si>
  <si>
    <r>
      <rPr>
        <b/>
        <sz val="9"/>
        <color rgb="FFFFFFFF"/>
        <rFont val="Times New Roman"/>
        <family val="1"/>
      </rPr>
      <t>Model Number</t>
    </r>
  </si>
  <si>
    <r>
      <rPr>
        <b/>
        <sz val="9"/>
        <color rgb="FFFFFFFF"/>
        <rFont val="Times New Roman"/>
        <family val="1"/>
      </rPr>
      <t>Input</t>
    </r>
  </si>
  <si>
    <r>
      <rPr>
        <b/>
        <sz val="9"/>
        <color rgb="FFFFFFFF"/>
        <rFont val="Times New Roman"/>
        <family val="1"/>
      </rPr>
      <t>Pixel</t>
    </r>
  </si>
  <si>
    <r>
      <rPr>
        <b/>
        <sz val="9"/>
        <color rgb="FFFFFFFF"/>
        <rFont val="Times New Roman"/>
        <family val="1"/>
      </rPr>
      <t>Product Specifications</t>
    </r>
  </si>
  <si>
    <t>MARCHANT PUR PRICE</t>
  </si>
  <si>
    <t>MARCHANT SALE TO PROTECHTUR</t>
  </si>
  <si>
    <t>EXCLUDING GST</t>
  </si>
  <si>
    <t>MOP</t>
  </si>
  <si>
    <t>QUANTITY</t>
  </si>
  <si>
    <t>TOTAL AMOUNT</t>
  </si>
</sst>
</file>

<file path=xl/styles.xml><?xml version="1.0" encoding="utf-8"?>
<styleSheet xmlns="http://schemas.openxmlformats.org/spreadsheetml/2006/main">
  <fonts count="19">
    <font>
      <sz val="10"/>
      <color rgb="FF000000"/>
      <name val="Times New Roman"/>
      <charset val="204"/>
    </font>
    <font>
      <sz val="8"/>
      <color rgb="FF000000"/>
      <name val="Times New Roman"/>
      <family val="1"/>
    </font>
    <font>
      <b/>
      <sz val="9"/>
      <name val="Calibri"/>
      <family val="2"/>
    </font>
    <font>
      <b/>
      <i/>
      <sz val="9"/>
      <name val="Calibri"/>
      <family val="2"/>
    </font>
    <font>
      <b/>
      <i/>
      <sz val="9"/>
      <name val="Calibri"/>
      <family val="1"/>
    </font>
    <font>
      <b/>
      <sz val="9"/>
      <name val="Calibri"/>
      <family val="1"/>
    </font>
    <font>
      <b/>
      <sz val="9"/>
      <color rgb="FF000000"/>
      <name val="Calibri"/>
      <family val="2"/>
    </font>
    <font>
      <sz val="9"/>
      <color rgb="FF000000"/>
      <name val="Times New Roman"/>
      <family val="1"/>
    </font>
    <font>
      <b/>
      <sz val="9"/>
      <color rgb="FFFFFFFF"/>
      <name val="Calibri"/>
      <family val="1"/>
    </font>
    <font>
      <b/>
      <sz val="9"/>
      <color rgb="FF000000"/>
      <name val="Times New Roman"/>
      <family val="1"/>
    </font>
    <font>
      <b/>
      <i/>
      <sz val="9"/>
      <color rgb="FFFFFFFF"/>
      <name val="Calibri"/>
      <family val="1"/>
    </font>
    <font>
      <b/>
      <sz val="9"/>
      <color rgb="FF2D75B5"/>
      <name val="Calibri"/>
      <family val="1"/>
    </font>
    <font>
      <b/>
      <i/>
      <sz val="9"/>
      <color theme="0"/>
      <name val="Calibri"/>
      <family val="2"/>
    </font>
    <font>
      <b/>
      <sz val="9"/>
      <color theme="0"/>
      <name val="Calibri"/>
      <family val="2"/>
    </font>
    <font>
      <b/>
      <sz val="9"/>
      <color theme="0"/>
      <name val="Calibri"/>
      <family val="1"/>
    </font>
    <font>
      <sz val="9"/>
      <color theme="0"/>
      <name val="Times New Roman"/>
      <family val="1"/>
    </font>
    <font>
      <b/>
      <sz val="9"/>
      <color theme="0"/>
      <name val="Times New Roman"/>
      <family val="1"/>
    </font>
    <font>
      <b/>
      <sz val="9"/>
      <name val="Times New Roman"/>
      <family val="1"/>
    </font>
    <font>
      <b/>
      <sz val="9"/>
      <color rgb="FFFFFFFF"/>
      <name val="Times New Roman"/>
      <family val="1"/>
    </font>
  </fonts>
  <fills count="16">
    <fill>
      <patternFill patternType="none"/>
    </fill>
    <fill>
      <patternFill patternType="gray125"/>
    </fill>
    <fill>
      <patternFill patternType="solid">
        <fgColor rgb="FF575757"/>
      </patternFill>
    </fill>
    <fill>
      <patternFill patternType="solid">
        <fgColor rgb="FFFD0000"/>
      </patternFill>
    </fill>
    <fill>
      <patternFill patternType="solid">
        <fgColor rgb="FFFFFFCC"/>
      </patternFill>
    </fill>
    <fill>
      <patternFill patternType="solid">
        <fgColor rgb="FFFFFF99"/>
      </patternFill>
    </fill>
    <fill>
      <patternFill patternType="solid">
        <fgColor rgb="FFFFFF00"/>
      </patternFill>
    </fill>
    <fill>
      <patternFill patternType="solid">
        <fgColor rgb="FF383838"/>
      </patternFill>
    </fill>
    <fill>
      <patternFill patternType="solid">
        <fgColor rgb="FF5B9AD4"/>
      </patternFill>
    </fill>
    <fill>
      <patternFill patternType="solid">
        <fgColor rgb="FF800080"/>
      </patternFill>
    </fill>
    <fill>
      <patternFill patternType="solid">
        <fgColor rgb="FFFF6600"/>
      </patternFill>
    </fill>
    <fill>
      <patternFill patternType="solid">
        <fgColor rgb="FF833B0C"/>
      </patternFill>
    </fill>
    <fill>
      <patternFill patternType="solid">
        <fgColor rgb="FF2D75B5"/>
      </patternFill>
    </fill>
    <fill>
      <patternFill patternType="solid">
        <fgColor rgb="FF00206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9">
    <xf numFmtId="0" fontId="0" fillId="0" borderId="0" xfId="0" applyFill="1" applyBorder="1" applyAlignment="1">
      <alignment horizontal="left" vertical="top"/>
    </xf>
    <xf numFmtId="1" fontId="6" fillId="4" borderId="1" xfId="0" applyNumberFormat="1" applyFont="1" applyFill="1" applyBorder="1" applyAlignment="1">
      <alignment horizontal="center" vertical="center" shrinkToFit="1"/>
    </xf>
    <xf numFmtId="0" fontId="2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1" fontId="6" fillId="0" borderId="1" xfId="0" applyNumberFormat="1" applyFont="1" applyFill="1" applyBorder="1" applyAlignment="1">
      <alignment horizontal="center" vertical="center" shrinkToFit="1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left" vertical="center"/>
    </xf>
    <xf numFmtId="1" fontId="6" fillId="6" borderId="1" xfId="0" applyNumberFormat="1" applyFont="1" applyFill="1" applyBorder="1" applyAlignment="1">
      <alignment horizontal="center" vertical="center" shrinkToFit="1"/>
    </xf>
    <xf numFmtId="0" fontId="2" fillId="6" borderId="1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left" vertical="center"/>
    </xf>
    <xf numFmtId="0" fontId="7" fillId="6" borderId="2" xfId="0" applyFont="1" applyFill="1" applyBorder="1" applyAlignment="1">
      <alignment horizontal="left" vertical="center"/>
    </xf>
    <xf numFmtId="0" fontId="7" fillId="0" borderId="2" xfId="0" applyFont="1" applyFill="1" applyBorder="1" applyAlignment="1">
      <alignment horizontal="left" vertical="center"/>
    </xf>
    <xf numFmtId="0" fontId="3" fillId="7" borderId="2" xfId="0" applyFont="1" applyFill="1" applyBorder="1" applyAlignment="1">
      <alignment vertical="center"/>
    </xf>
    <xf numFmtId="0" fontId="3" fillId="7" borderId="3" xfId="0" applyFont="1" applyFill="1" applyBorder="1" applyAlignment="1">
      <alignment vertical="center"/>
    </xf>
    <xf numFmtId="0" fontId="2" fillId="0" borderId="2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left" vertical="center"/>
    </xf>
    <xf numFmtId="0" fontId="3" fillId="9" borderId="2" xfId="0" applyFont="1" applyFill="1" applyBorder="1" applyAlignment="1">
      <alignment horizontal="left" vertical="center"/>
    </xf>
    <xf numFmtId="0" fontId="3" fillId="11" borderId="1" xfId="0" applyFont="1" applyFill="1" applyBorder="1" applyAlignment="1">
      <alignment horizontal="center" vertical="center"/>
    </xf>
    <xf numFmtId="0" fontId="3" fillId="11" borderId="2" xfId="0" applyFont="1" applyFill="1" applyBorder="1" applyAlignment="1">
      <alignment horizontal="left" vertical="center"/>
    </xf>
    <xf numFmtId="0" fontId="2" fillId="12" borderId="2" xfId="0" applyFont="1" applyFill="1" applyBorder="1" applyAlignment="1">
      <alignment vertical="center"/>
    </xf>
    <xf numFmtId="0" fontId="2" fillId="12" borderId="3" xfId="0" applyFont="1" applyFill="1" applyBorder="1" applyAlignment="1">
      <alignment vertical="center"/>
    </xf>
    <xf numFmtId="0" fontId="3" fillId="7" borderId="3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left" vertical="center"/>
    </xf>
    <xf numFmtId="0" fontId="0" fillId="0" borderId="0" xfId="0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vertical="center"/>
    </xf>
    <xf numFmtId="0" fontId="2" fillId="10" borderId="3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2" fillId="4" borderId="2" xfId="0" applyFont="1" applyFill="1" applyBorder="1" applyAlignment="1">
      <alignment horizontal="left" vertical="center"/>
    </xf>
    <xf numFmtId="0" fontId="3" fillId="8" borderId="2" xfId="0" applyFont="1" applyFill="1" applyBorder="1" applyAlignment="1">
      <alignment horizontal="left" vertical="center"/>
    </xf>
    <xf numFmtId="0" fontId="2" fillId="10" borderId="3" xfId="0" applyFont="1" applyFill="1" applyBorder="1" applyAlignment="1">
      <alignment horizontal="left" vertical="center"/>
    </xf>
    <xf numFmtId="0" fontId="2" fillId="12" borderId="3" xfId="0" applyFont="1" applyFill="1" applyBorder="1" applyAlignment="1">
      <alignment horizontal="left" vertical="center"/>
    </xf>
    <xf numFmtId="0" fontId="9" fillId="0" borderId="0" xfId="0" applyFont="1" applyFill="1" applyBorder="1" applyAlignment="1">
      <alignment horizontal="center" vertical="center"/>
    </xf>
    <xf numFmtId="0" fontId="13" fillId="13" borderId="5" xfId="0" applyFont="1" applyFill="1" applyBorder="1" applyAlignment="1">
      <alignment vertical="center"/>
    </xf>
    <xf numFmtId="0" fontId="13" fillId="13" borderId="6" xfId="0" applyFont="1" applyFill="1" applyBorder="1" applyAlignment="1">
      <alignment vertical="center"/>
    </xf>
    <xf numFmtId="0" fontId="12" fillId="13" borderId="5" xfId="0" applyFont="1" applyFill="1" applyBorder="1" applyAlignment="1">
      <alignment horizontal="left" vertical="center"/>
    </xf>
    <xf numFmtId="0" fontId="17" fillId="14" borderId="7" xfId="0" applyFont="1" applyFill="1" applyBorder="1" applyAlignment="1">
      <alignment horizontal="center" vertical="center"/>
    </xf>
    <xf numFmtId="0" fontId="17" fillId="14" borderId="7" xfId="0" applyFont="1" applyFill="1" applyBorder="1" applyAlignment="1">
      <alignment horizontal="left" vertical="center"/>
    </xf>
    <xf numFmtId="0" fontId="16" fillId="14" borderId="7" xfId="0" applyFont="1" applyFill="1" applyBorder="1" applyAlignment="1">
      <alignment horizontal="center" vertical="center" wrapText="1"/>
    </xf>
    <xf numFmtId="0" fontId="15" fillId="13" borderId="7" xfId="0" applyFont="1" applyFill="1" applyBorder="1" applyAlignment="1">
      <alignment horizontal="center" vertical="center"/>
    </xf>
    <xf numFmtId="1" fontId="6" fillId="5" borderId="5" xfId="0" applyNumberFormat="1" applyFont="1" applyFill="1" applyBorder="1" applyAlignment="1">
      <alignment horizontal="center" vertical="center" shrinkToFit="1"/>
    </xf>
    <xf numFmtId="1" fontId="6" fillId="5" borderId="2" xfId="0" applyNumberFormat="1" applyFont="1" applyFill="1" applyBorder="1" applyAlignment="1">
      <alignment horizontal="center" vertical="center" shrinkToFit="1"/>
    </xf>
    <xf numFmtId="1" fontId="6" fillId="6" borderId="2" xfId="0" applyNumberFormat="1" applyFont="1" applyFill="1" applyBorder="1" applyAlignment="1">
      <alignment horizontal="center" vertical="center" shrinkToFit="1"/>
    </xf>
    <xf numFmtId="0" fontId="7" fillId="8" borderId="2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11" borderId="2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1" fontId="6" fillId="0" borderId="2" xfId="0" applyNumberFormat="1" applyFont="1" applyFill="1" applyBorder="1" applyAlignment="1">
      <alignment horizontal="center" vertical="center" shrinkToFit="1"/>
    </xf>
    <xf numFmtId="0" fontId="0" fillId="0" borderId="7" xfId="0" applyFill="1" applyBorder="1" applyAlignment="1">
      <alignment horizontal="center" vertical="center"/>
    </xf>
    <xf numFmtId="0" fontId="16" fillId="15" borderId="7" xfId="0" applyFont="1" applyFill="1" applyBorder="1" applyAlignment="1">
      <alignment horizontal="center" vertical="center" wrapText="1"/>
    </xf>
    <xf numFmtId="0" fontId="0" fillId="13" borderId="0" xfId="0" applyFill="1" applyBorder="1" applyAlignment="1">
      <alignment horizontal="center" vertical="center"/>
    </xf>
    <xf numFmtId="0" fontId="2" fillId="13" borderId="2" xfId="0" applyFont="1" applyFill="1" applyBorder="1" applyAlignment="1">
      <alignment vertical="center"/>
    </xf>
    <xf numFmtId="0" fontId="2" fillId="13" borderId="3" xfId="0" applyFont="1" applyFill="1" applyBorder="1" applyAlignment="1">
      <alignment vertical="center"/>
    </xf>
    <xf numFmtId="0" fontId="2" fillId="13" borderId="3" xfId="0" applyFont="1" applyFill="1" applyBorder="1" applyAlignment="1">
      <alignment horizontal="left" vertical="center"/>
    </xf>
    <xf numFmtId="0" fontId="0" fillId="13" borderId="7" xfId="0" applyFill="1" applyBorder="1" applyAlignment="1">
      <alignment horizontal="center" vertical="center"/>
    </xf>
    <xf numFmtId="0" fontId="7" fillId="13" borderId="2" xfId="0" applyFont="1" applyFill="1" applyBorder="1" applyAlignment="1">
      <alignment vertical="center"/>
    </xf>
    <xf numFmtId="0" fontId="7" fillId="13" borderId="3" xfId="0" applyFont="1" applyFill="1" applyBorder="1" applyAlignment="1">
      <alignment vertical="center"/>
    </xf>
    <xf numFmtId="0" fontId="7" fillId="13" borderId="3" xfId="0" applyFont="1" applyFill="1" applyBorder="1" applyAlignment="1">
      <alignment horizontal="left" vertical="center"/>
    </xf>
    <xf numFmtId="0" fontId="3" fillId="13" borderId="1" xfId="0" applyFont="1" applyFill="1" applyBorder="1" applyAlignment="1">
      <alignment horizontal="center" vertical="center"/>
    </xf>
    <xf numFmtId="0" fontId="3" fillId="13" borderId="2" xfId="0" applyFont="1" applyFill="1" applyBorder="1" applyAlignment="1">
      <alignment horizontal="left" vertical="center"/>
    </xf>
    <xf numFmtId="0" fontId="7" fillId="13" borderId="2" xfId="0" applyFont="1" applyFill="1" applyBorder="1" applyAlignment="1">
      <alignment horizontal="center" vertical="center"/>
    </xf>
    <xf numFmtId="0" fontId="3" fillId="13" borderId="2" xfId="0" applyFont="1" applyFill="1" applyBorder="1" applyAlignment="1">
      <alignment vertical="center"/>
    </xf>
    <xf numFmtId="0" fontId="3" fillId="13" borderId="3" xfId="0" applyFont="1" applyFill="1" applyBorder="1" applyAlignment="1">
      <alignment vertical="center"/>
    </xf>
    <xf numFmtId="0" fontId="3" fillId="13" borderId="3" xfId="0" applyFont="1" applyFill="1" applyBorder="1" applyAlignment="1">
      <alignment horizontal="left" vertical="center"/>
    </xf>
    <xf numFmtId="0" fontId="12" fillId="13" borderId="3" xfId="0" applyFont="1" applyFill="1" applyBorder="1" applyAlignment="1">
      <alignment vertical="center"/>
    </xf>
    <xf numFmtId="0" fontId="12" fillId="13" borderId="2" xfId="0" applyFont="1" applyFill="1" applyBorder="1" applyAlignment="1">
      <alignment vertical="center"/>
    </xf>
    <xf numFmtId="0" fontId="12" fillId="13" borderId="3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5"/>
  <sheetViews>
    <sheetView tabSelected="1" workbookViewId="0">
      <pane xSplit="2" ySplit="1" topLeftCell="H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RowHeight="12.75"/>
  <cols>
    <col min="1" max="1" width="5.5" style="29" customWidth="1"/>
    <col min="2" max="2" width="22.6640625" style="34" bestFit="1" customWidth="1"/>
    <col min="3" max="3" width="12.1640625" style="29" customWidth="1"/>
    <col min="4" max="4" width="12" style="29" customWidth="1"/>
    <col min="5" max="5" width="84" style="16" customWidth="1"/>
    <col min="6" max="6" width="11.6640625" style="29" customWidth="1"/>
    <col min="7" max="7" width="6.6640625" style="26" customWidth="1"/>
    <col min="8" max="8" width="13" style="26" customWidth="1"/>
    <col min="9" max="9" width="6.6640625" style="26" customWidth="1"/>
    <col min="10" max="10" width="16.5" style="26" customWidth="1"/>
    <col min="11" max="11" width="11.5" style="26" customWidth="1"/>
    <col min="12" max="12" width="12" style="26" customWidth="1"/>
    <col min="13" max="16384" width="9.33203125" style="26"/>
  </cols>
  <sheetData>
    <row r="1" spans="1:12" s="43" customFormat="1" ht="36">
      <c r="A1" s="47" t="s">
        <v>272</v>
      </c>
      <c r="B1" s="47" t="s">
        <v>273</v>
      </c>
      <c r="C1" s="47" t="s">
        <v>274</v>
      </c>
      <c r="D1" s="47" t="s">
        <v>275</v>
      </c>
      <c r="E1" s="48" t="s">
        <v>276</v>
      </c>
      <c r="F1" s="49" t="s">
        <v>280</v>
      </c>
      <c r="G1" s="49" t="s">
        <v>270</v>
      </c>
      <c r="H1" s="49" t="s">
        <v>277</v>
      </c>
      <c r="I1" s="49" t="s">
        <v>271</v>
      </c>
      <c r="J1" s="61" t="s">
        <v>278</v>
      </c>
      <c r="K1" s="61" t="s">
        <v>281</v>
      </c>
      <c r="L1" s="61" t="s">
        <v>282</v>
      </c>
    </row>
    <row r="2" spans="1:12">
      <c r="A2" s="44" t="s">
        <v>269</v>
      </c>
      <c r="B2" s="45"/>
      <c r="C2" s="45"/>
      <c r="D2" s="45"/>
      <c r="E2" s="46"/>
      <c r="F2" s="50" t="s">
        <v>279</v>
      </c>
      <c r="G2" s="50"/>
      <c r="H2" s="50"/>
      <c r="I2" s="50"/>
      <c r="J2" s="50"/>
      <c r="K2" s="62"/>
      <c r="L2" s="62"/>
    </row>
    <row r="3" spans="1:12">
      <c r="A3" s="1">
        <v>1</v>
      </c>
      <c r="B3" s="2" t="s">
        <v>40</v>
      </c>
      <c r="C3" s="3" t="s">
        <v>0</v>
      </c>
      <c r="D3" s="2" t="s">
        <v>1</v>
      </c>
      <c r="E3" s="39" t="s">
        <v>2</v>
      </c>
      <c r="F3" s="51">
        <v>670</v>
      </c>
      <c r="G3" s="60">
        <v>5</v>
      </c>
      <c r="H3" s="60">
        <f>F3-(F3*G3/100)</f>
        <v>636.5</v>
      </c>
      <c r="I3" s="60">
        <v>4</v>
      </c>
      <c r="J3" s="60">
        <f>H3+(H3*I3/100)</f>
        <v>661.96</v>
      </c>
      <c r="K3" s="60"/>
      <c r="L3" s="60">
        <f>J3*K3</f>
        <v>0</v>
      </c>
    </row>
    <row r="4" spans="1:12">
      <c r="A4" s="1">
        <v>2</v>
      </c>
      <c r="B4" s="2" t="s">
        <v>41</v>
      </c>
      <c r="C4" s="3" t="s">
        <v>3</v>
      </c>
      <c r="D4" s="2" t="s">
        <v>1</v>
      </c>
      <c r="E4" s="39" t="s">
        <v>2</v>
      </c>
      <c r="F4" s="52">
        <v>730</v>
      </c>
      <c r="G4" s="60">
        <v>5</v>
      </c>
      <c r="H4" s="60">
        <f t="shared" ref="H4:H67" si="0">F4-(F4*G4/100)</f>
        <v>693.5</v>
      </c>
      <c r="I4" s="60">
        <v>4</v>
      </c>
      <c r="J4" s="60">
        <f t="shared" ref="J4:J67" si="1">H4+(H4*I4/100)</f>
        <v>721.24</v>
      </c>
      <c r="K4" s="60"/>
      <c r="L4" s="60">
        <f t="shared" ref="L4:L67" si="2">J4*K4</f>
        <v>0</v>
      </c>
    </row>
    <row r="5" spans="1:12">
      <c r="A5" s="63" t="s">
        <v>37</v>
      </c>
      <c r="B5" s="64"/>
      <c r="C5" s="64"/>
      <c r="D5" s="64"/>
      <c r="E5" s="65"/>
      <c r="F5" s="64"/>
      <c r="G5" s="66"/>
      <c r="H5" s="66">
        <f t="shared" si="0"/>
        <v>0</v>
      </c>
      <c r="I5" s="66">
        <v>0</v>
      </c>
      <c r="J5" s="66">
        <f t="shared" si="1"/>
        <v>0</v>
      </c>
      <c r="K5" s="66"/>
      <c r="L5" s="66">
        <f t="shared" si="2"/>
        <v>0</v>
      </c>
    </row>
    <row r="6" spans="1:12">
      <c r="A6" s="4">
        <v>1</v>
      </c>
      <c r="B6" s="5" t="s">
        <v>42</v>
      </c>
      <c r="C6" s="6" t="s">
        <v>0</v>
      </c>
      <c r="D6" s="5" t="s">
        <v>1</v>
      </c>
      <c r="E6" s="7" t="s">
        <v>4</v>
      </c>
      <c r="F6" s="52">
        <v>800</v>
      </c>
      <c r="G6" s="60">
        <v>5</v>
      </c>
      <c r="H6" s="60">
        <f t="shared" si="0"/>
        <v>760</v>
      </c>
      <c r="I6" s="60">
        <v>4</v>
      </c>
      <c r="J6" s="60">
        <f t="shared" si="1"/>
        <v>790.4</v>
      </c>
      <c r="K6" s="60"/>
      <c r="L6" s="60">
        <f t="shared" si="2"/>
        <v>0</v>
      </c>
    </row>
    <row r="7" spans="1:12">
      <c r="A7" s="4">
        <v>2</v>
      </c>
      <c r="B7" s="5" t="s">
        <v>43</v>
      </c>
      <c r="C7" s="6" t="s">
        <v>3</v>
      </c>
      <c r="D7" s="5" t="s">
        <v>1</v>
      </c>
      <c r="E7" s="7" t="s">
        <v>4</v>
      </c>
      <c r="F7" s="52">
        <v>890</v>
      </c>
      <c r="G7" s="60">
        <v>5</v>
      </c>
      <c r="H7" s="60">
        <f t="shared" si="0"/>
        <v>845.5</v>
      </c>
      <c r="I7" s="60">
        <v>4</v>
      </c>
      <c r="J7" s="60">
        <f t="shared" si="1"/>
        <v>879.32</v>
      </c>
      <c r="K7" s="60"/>
      <c r="L7" s="60">
        <f t="shared" si="2"/>
        <v>0</v>
      </c>
    </row>
    <row r="8" spans="1:12">
      <c r="A8" s="4">
        <v>3</v>
      </c>
      <c r="B8" s="5" t="s">
        <v>44</v>
      </c>
      <c r="C8" s="6" t="s">
        <v>3</v>
      </c>
      <c r="D8" s="5" t="s">
        <v>1</v>
      </c>
      <c r="E8" s="7" t="s">
        <v>5</v>
      </c>
      <c r="F8" s="52">
        <v>1540</v>
      </c>
      <c r="G8" s="60">
        <v>5</v>
      </c>
      <c r="H8" s="60">
        <f t="shared" si="0"/>
        <v>1463</v>
      </c>
      <c r="I8" s="60">
        <v>4</v>
      </c>
      <c r="J8" s="60">
        <f t="shared" si="1"/>
        <v>1521.52</v>
      </c>
      <c r="K8" s="60"/>
      <c r="L8" s="60">
        <f t="shared" si="2"/>
        <v>0</v>
      </c>
    </row>
    <row r="9" spans="1:12">
      <c r="A9" s="4">
        <v>4</v>
      </c>
      <c r="B9" s="5" t="s">
        <v>45</v>
      </c>
      <c r="C9" s="6" t="s">
        <v>3</v>
      </c>
      <c r="D9" s="5" t="s">
        <v>1</v>
      </c>
      <c r="E9" s="7" t="s">
        <v>6</v>
      </c>
      <c r="F9" s="52">
        <v>1740</v>
      </c>
      <c r="G9" s="60">
        <v>5</v>
      </c>
      <c r="H9" s="60">
        <f t="shared" si="0"/>
        <v>1653</v>
      </c>
      <c r="I9" s="60">
        <v>4</v>
      </c>
      <c r="J9" s="60">
        <f t="shared" si="1"/>
        <v>1719.12</v>
      </c>
      <c r="K9" s="60"/>
      <c r="L9" s="60">
        <f t="shared" si="2"/>
        <v>0</v>
      </c>
    </row>
    <row r="10" spans="1:12">
      <c r="A10" s="4">
        <v>5</v>
      </c>
      <c r="B10" s="5" t="s">
        <v>46</v>
      </c>
      <c r="C10" s="6" t="s">
        <v>3</v>
      </c>
      <c r="D10" s="5" t="s">
        <v>1</v>
      </c>
      <c r="E10" s="7" t="s">
        <v>7</v>
      </c>
      <c r="F10" s="52">
        <v>1940</v>
      </c>
      <c r="G10" s="60">
        <v>5</v>
      </c>
      <c r="H10" s="60">
        <f t="shared" si="0"/>
        <v>1843</v>
      </c>
      <c r="I10" s="60">
        <v>4</v>
      </c>
      <c r="J10" s="60">
        <f t="shared" si="1"/>
        <v>1916.72</v>
      </c>
      <c r="K10" s="60"/>
      <c r="L10" s="60">
        <f t="shared" si="2"/>
        <v>0</v>
      </c>
    </row>
    <row r="11" spans="1:12">
      <c r="A11" s="4">
        <v>6</v>
      </c>
      <c r="B11" s="5" t="s">
        <v>47</v>
      </c>
      <c r="C11" s="6" t="s">
        <v>0</v>
      </c>
      <c r="D11" s="5" t="s">
        <v>1</v>
      </c>
      <c r="E11" s="7" t="s">
        <v>8</v>
      </c>
      <c r="F11" s="52">
        <v>1390</v>
      </c>
      <c r="G11" s="60">
        <v>5</v>
      </c>
      <c r="H11" s="60">
        <f t="shared" si="0"/>
        <v>1320.5</v>
      </c>
      <c r="I11" s="60">
        <v>4</v>
      </c>
      <c r="J11" s="60">
        <f t="shared" si="1"/>
        <v>1373.32</v>
      </c>
      <c r="K11" s="60"/>
      <c r="L11" s="60">
        <f t="shared" si="2"/>
        <v>0</v>
      </c>
    </row>
    <row r="12" spans="1:12">
      <c r="A12" s="4">
        <v>7</v>
      </c>
      <c r="B12" s="5" t="s">
        <v>48</v>
      </c>
      <c r="C12" s="6" t="s">
        <v>3</v>
      </c>
      <c r="D12" s="5" t="s">
        <v>1</v>
      </c>
      <c r="E12" s="7" t="s">
        <v>8</v>
      </c>
      <c r="F12" s="52">
        <v>1420</v>
      </c>
      <c r="G12" s="60">
        <v>5</v>
      </c>
      <c r="H12" s="60">
        <f t="shared" si="0"/>
        <v>1349</v>
      </c>
      <c r="I12" s="60">
        <v>4</v>
      </c>
      <c r="J12" s="60">
        <f t="shared" si="1"/>
        <v>1402.96</v>
      </c>
      <c r="K12" s="60"/>
      <c r="L12" s="60">
        <f t="shared" si="2"/>
        <v>0</v>
      </c>
    </row>
    <row r="13" spans="1:12">
      <c r="A13" s="4">
        <v>8</v>
      </c>
      <c r="B13" s="5" t="s">
        <v>49</v>
      </c>
      <c r="C13" s="6" t="s">
        <v>9</v>
      </c>
      <c r="D13" s="5" t="s">
        <v>1</v>
      </c>
      <c r="E13" s="7" t="s">
        <v>10</v>
      </c>
      <c r="F13" s="52">
        <v>3430</v>
      </c>
      <c r="G13" s="60">
        <v>5</v>
      </c>
      <c r="H13" s="60">
        <f t="shared" si="0"/>
        <v>3258.5</v>
      </c>
      <c r="I13" s="60">
        <v>4</v>
      </c>
      <c r="J13" s="60">
        <f t="shared" si="1"/>
        <v>3388.84</v>
      </c>
      <c r="K13" s="60"/>
      <c r="L13" s="60">
        <f t="shared" si="2"/>
        <v>0</v>
      </c>
    </row>
    <row r="14" spans="1:12">
      <c r="A14" s="4">
        <v>9</v>
      </c>
      <c r="B14" s="5" t="s">
        <v>50</v>
      </c>
      <c r="C14" s="6" t="s">
        <v>11</v>
      </c>
      <c r="D14" s="5" t="s">
        <v>1</v>
      </c>
      <c r="E14" s="7" t="s">
        <v>10</v>
      </c>
      <c r="F14" s="52">
        <v>3430</v>
      </c>
      <c r="G14" s="60">
        <v>5</v>
      </c>
      <c r="H14" s="60">
        <f t="shared" si="0"/>
        <v>3258.5</v>
      </c>
      <c r="I14" s="60">
        <v>4</v>
      </c>
      <c r="J14" s="60">
        <f t="shared" si="1"/>
        <v>3388.84</v>
      </c>
      <c r="K14" s="60"/>
      <c r="L14" s="60">
        <f t="shared" si="2"/>
        <v>0</v>
      </c>
    </row>
    <row r="15" spans="1:12">
      <c r="A15" s="63" t="s">
        <v>38</v>
      </c>
      <c r="B15" s="64"/>
      <c r="C15" s="64"/>
      <c r="D15" s="64"/>
      <c r="E15" s="65"/>
      <c r="F15" s="64"/>
      <c r="G15" s="66"/>
      <c r="H15" s="66">
        <f t="shared" si="0"/>
        <v>0</v>
      </c>
      <c r="I15" s="66">
        <v>0</v>
      </c>
      <c r="J15" s="66">
        <f t="shared" si="1"/>
        <v>0</v>
      </c>
      <c r="K15" s="66"/>
      <c r="L15" s="66">
        <f t="shared" si="2"/>
        <v>0</v>
      </c>
    </row>
    <row r="16" spans="1:12">
      <c r="A16" s="4">
        <v>1</v>
      </c>
      <c r="B16" s="5" t="s">
        <v>51</v>
      </c>
      <c r="C16" s="6" t="s">
        <v>0</v>
      </c>
      <c r="D16" s="5" t="s">
        <v>12</v>
      </c>
      <c r="E16" s="7" t="s">
        <v>13</v>
      </c>
      <c r="F16" s="52">
        <v>1240</v>
      </c>
      <c r="G16" s="60">
        <v>5</v>
      </c>
      <c r="H16" s="60">
        <f t="shared" si="0"/>
        <v>1178</v>
      </c>
      <c r="I16" s="60">
        <v>4</v>
      </c>
      <c r="J16" s="60">
        <f t="shared" si="1"/>
        <v>1225.1199999999999</v>
      </c>
      <c r="K16" s="60"/>
      <c r="L16" s="60">
        <f t="shared" si="2"/>
        <v>0</v>
      </c>
    </row>
    <row r="17" spans="1:12">
      <c r="A17" s="4">
        <v>2</v>
      </c>
      <c r="B17" s="5" t="s">
        <v>52</v>
      </c>
      <c r="C17" s="6" t="s">
        <v>3</v>
      </c>
      <c r="D17" s="5" t="s">
        <v>12</v>
      </c>
      <c r="E17" s="7" t="s">
        <v>13</v>
      </c>
      <c r="F17" s="52">
        <v>1310</v>
      </c>
      <c r="G17" s="60">
        <v>5</v>
      </c>
      <c r="H17" s="60">
        <f t="shared" si="0"/>
        <v>1244.5</v>
      </c>
      <c r="I17" s="60">
        <v>4</v>
      </c>
      <c r="J17" s="60">
        <f t="shared" si="1"/>
        <v>1294.28</v>
      </c>
      <c r="K17" s="60"/>
      <c r="L17" s="60">
        <f t="shared" si="2"/>
        <v>0</v>
      </c>
    </row>
    <row r="18" spans="1:12">
      <c r="A18" s="4">
        <v>3</v>
      </c>
      <c r="B18" s="5" t="s">
        <v>53</v>
      </c>
      <c r="C18" s="6" t="s">
        <v>3</v>
      </c>
      <c r="D18" s="5" t="s">
        <v>12</v>
      </c>
      <c r="E18" s="7" t="s">
        <v>14</v>
      </c>
      <c r="F18" s="52">
        <v>1840</v>
      </c>
      <c r="G18" s="60">
        <v>5</v>
      </c>
      <c r="H18" s="60">
        <f t="shared" si="0"/>
        <v>1748</v>
      </c>
      <c r="I18" s="60">
        <v>4</v>
      </c>
      <c r="J18" s="60">
        <f t="shared" si="1"/>
        <v>1817.92</v>
      </c>
      <c r="K18" s="60"/>
      <c r="L18" s="60">
        <f t="shared" si="2"/>
        <v>0</v>
      </c>
    </row>
    <row r="19" spans="1:12">
      <c r="A19" s="4">
        <v>4</v>
      </c>
      <c r="B19" s="5" t="s">
        <v>54</v>
      </c>
      <c r="C19" s="6" t="s">
        <v>3</v>
      </c>
      <c r="D19" s="5" t="s">
        <v>12</v>
      </c>
      <c r="E19" s="7" t="s">
        <v>15</v>
      </c>
      <c r="F19" s="52">
        <v>2040</v>
      </c>
      <c r="G19" s="60">
        <v>5</v>
      </c>
      <c r="H19" s="60">
        <f t="shared" si="0"/>
        <v>1938</v>
      </c>
      <c r="I19" s="60">
        <v>4</v>
      </c>
      <c r="J19" s="60">
        <f t="shared" si="1"/>
        <v>2015.52</v>
      </c>
      <c r="K19" s="60"/>
      <c r="L19" s="60">
        <f t="shared" si="2"/>
        <v>0</v>
      </c>
    </row>
    <row r="20" spans="1:12">
      <c r="A20" s="4">
        <v>5</v>
      </c>
      <c r="B20" s="5" t="s">
        <v>55</v>
      </c>
      <c r="C20" s="6" t="s">
        <v>0</v>
      </c>
      <c r="D20" s="5" t="s">
        <v>16</v>
      </c>
      <c r="E20" s="7" t="s">
        <v>17</v>
      </c>
      <c r="F20" s="52">
        <v>1930</v>
      </c>
      <c r="G20" s="60">
        <v>5</v>
      </c>
      <c r="H20" s="60">
        <f t="shared" si="0"/>
        <v>1833.5</v>
      </c>
      <c r="I20" s="60">
        <v>4</v>
      </c>
      <c r="J20" s="60">
        <f t="shared" si="1"/>
        <v>1906.84</v>
      </c>
      <c r="K20" s="60"/>
      <c r="L20" s="60">
        <f t="shared" si="2"/>
        <v>0</v>
      </c>
    </row>
    <row r="21" spans="1:12">
      <c r="A21" s="4">
        <v>6</v>
      </c>
      <c r="B21" s="5" t="s">
        <v>56</v>
      </c>
      <c r="C21" s="6" t="s">
        <v>3</v>
      </c>
      <c r="D21" s="5" t="s">
        <v>16</v>
      </c>
      <c r="E21" s="7" t="s">
        <v>17</v>
      </c>
      <c r="F21" s="52">
        <v>1930</v>
      </c>
      <c r="G21" s="60">
        <v>5</v>
      </c>
      <c r="H21" s="60">
        <f t="shared" si="0"/>
        <v>1833.5</v>
      </c>
      <c r="I21" s="60">
        <v>4</v>
      </c>
      <c r="J21" s="60">
        <f t="shared" si="1"/>
        <v>1906.84</v>
      </c>
      <c r="K21" s="60"/>
      <c r="L21" s="60">
        <f t="shared" si="2"/>
        <v>0</v>
      </c>
    </row>
    <row r="22" spans="1:12">
      <c r="A22" s="67" t="s">
        <v>39</v>
      </c>
      <c r="B22" s="68"/>
      <c r="C22" s="68"/>
      <c r="D22" s="68"/>
      <c r="E22" s="69"/>
      <c r="F22" s="68"/>
      <c r="G22" s="66"/>
      <c r="H22" s="66">
        <f t="shared" si="0"/>
        <v>0</v>
      </c>
      <c r="I22" s="66">
        <v>0</v>
      </c>
      <c r="J22" s="66">
        <f t="shared" si="1"/>
        <v>0</v>
      </c>
      <c r="K22" s="66"/>
      <c r="L22" s="66">
        <f t="shared" si="2"/>
        <v>0</v>
      </c>
    </row>
    <row r="23" spans="1:12">
      <c r="A23" s="4">
        <v>1</v>
      </c>
      <c r="B23" s="5" t="s">
        <v>57</v>
      </c>
      <c r="C23" s="6" t="s">
        <v>0</v>
      </c>
      <c r="D23" s="5" t="s">
        <v>18</v>
      </c>
      <c r="E23" s="7" t="s">
        <v>19</v>
      </c>
      <c r="F23" s="52">
        <v>1640</v>
      </c>
      <c r="G23" s="60">
        <v>5</v>
      </c>
      <c r="H23" s="60">
        <f t="shared" si="0"/>
        <v>1558</v>
      </c>
      <c r="I23" s="60">
        <v>4</v>
      </c>
      <c r="J23" s="60">
        <f t="shared" si="1"/>
        <v>1620.32</v>
      </c>
      <c r="K23" s="60"/>
      <c r="L23" s="60">
        <f t="shared" si="2"/>
        <v>0</v>
      </c>
    </row>
    <row r="24" spans="1:12">
      <c r="A24" s="4">
        <v>2</v>
      </c>
      <c r="B24" s="5" t="s">
        <v>58</v>
      </c>
      <c r="C24" s="6" t="s">
        <v>3</v>
      </c>
      <c r="D24" s="5" t="s">
        <v>18</v>
      </c>
      <c r="E24" s="7" t="s">
        <v>19</v>
      </c>
      <c r="F24" s="52">
        <v>1700</v>
      </c>
      <c r="G24" s="60">
        <v>5</v>
      </c>
      <c r="H24" s="60">
        <f t="shared" si="0"/>
        <v>1615</v>
      </c>
      <c r="I24" s="60">
        <v>4</v>
      </c>
      <c r="J24" s="60">
        <f t="shared" si="1"/>
        <v>1679.6</v>
      </c>
      <c r="K24" s="60"/>
      <c r="L24" s="60">
        <f t="shared" si="2"/>
        <v>0</v>
      </c>
    </row>
    <row r="25" spans="1:12">
      <c r="A25" s="8">
        <v>3</v>
      </c>
      <c r="B25" s="9" t="s">
        <v>59</v>
      </c>
      <c r="C25" s="27" t="s">
        <v>3</v>
      </c>
      <c r="D25" s="9" t="s">
        <v>18</v>
      </c>
      <c r="E25" s="10" t="s">
        <v>20</v>
      </c>
      <c r="F25" s="53">
        <v>1800</v>
      </c>
      <c r="G25" s="60">
        <v>5</v>
      </c>
      <c r="H25" s="60">
        <f t="shared" si="0"/>
        <v>1710</v>
      </c>
      <c r="I25" s="60">
        <v>4</v>
      </c>
      <c r="J25" s="60">
        <f t="shared" si="1"/>
        <v>1778.4</v>
      </c>
      <c r="K25" s="60"/>
      <c r="L25" s="60">
        <f t="shared" si="2"/>
        <v>0</v>
      </c>
    </row>
    <row r="26" spans="1:12">
      <c r="A26" s="4">
        <v>4</v>
      </c>
      <c r="B26" s="5" t="s">
        <v>60</v>
      </c>
      <c r="C26" s="6" t="s">
        <v>0</v>
      </c>
      <c r="D26" s="5" t="s">
        <v>18</v>
      </c>
      <c r="E26" s="7" t="s">
        <v>21</v>
      </c>
      <c r="F26" s="52">
        <v>2080</v>
      </c>
      <c r="G26" s="60">
        <v>5</v>
      </c>
      <c r="H26" s="60">
        <f t="shared" si="0"/>
        <v>1976</v>
      </c>
      <c r="I26" s="60">
        <v>4</v>
      </c>
      <c r="J26" s="60">
        <f t="shared" si="1"/>
        <v>2055.04</v>
      </c>
      <c r="K26" s="60"/>
      <c r="L26" s="60">
        <f t="shared" si="2"/>
        <v>0</v>
      </c>
    </row>
    <row r="27" spans="1:12">
      <c r="A27" s="4">
        <v>5</v>
      </c>
      <c r="B27" s="5" t="s">
        <v>61</v>
      </c>
      <c r="C27" s="6" t="s">
        <v>3</v>
      </c>
      <c r="D27" s="5" t="s">
        <v>18</v>
      </c>
      <c r="E27" s="7" t="s">
        <v>21</v>
      </c>
      <c r="F27" s="52">
        <v>2080</v>
      </c>
      <c r="G27" s="60">
        <v>5</v>
      </c>
      <c r="H27" s="60">
        <f t="shared" si="0"/>
        <v>1976</v>
      </c>
      <c r="I27" s="60">
        <v>4</v>
      </c>
      <c r="J27" s="60">
        <f t="shared" si="1"/>
        <v>2055.04</v>
      </c>
      <c r="K27" s="60"/>
      <c r="L27" s="60">
        <f t="shared" si="2"/>
        <v>0</v>
      </c>
    </row>
    <row r="28" spans="1:12">
      <c r="A28" s="4">
        <v>6</v>
      </c>
      <c r="B28" s="5" t="s">
        <v>62</v>
      </c>
      <c r="C28" s="6" t="s">
        <v>0</v>
      </c>
      <c r="D28" s="5" t="s">
        <v>22</v>
      </c>
      <c r="E28" s="7" t="s">
        <v>23</v>
      </c>
      <c r="F28" s="52">
        <v>2190</v>
      </c>
      <c r="G28" s="60">
        <v>5</v>
      </c>
      <c r="H28" s="60">
        <f t="shared" si="0"/>
        <v>2080.5</v>
      </c>
      <c r="I28" s="60">
        <v>4</v>
      </c>
      <c r="J28" s="60">
        <f t="shared" si="1"/>
        <v>2163.7199999999998</v>
      </c>
      <c r="K28" s="60"/>
      <c r="L28" s="60">
        <f t="shared" si="2"/>
        <v>0</v>
      </c>
    </row>
    <row r="29" spans="1:12">
      <c r="A29" s="4">
        <v>7</v>
      </c>
      <c r="B29" s="5" t="s">
        <v>63</v>
      </c>
      <c r="C29" s="6" t="s">
        <v>3</v>
      </c>
      <c r="D29" s="5" t="s">
        <v>22</v>
      </c>
      <c r="E29" s="7" t="s">
        <v>23</v>
      </c>
      <c r="F29" s="52">
        <v>2250</v>
      </c>
      <c r="G29" s="60">
        <v>5</v>
      </c>
      <c r="H29" s="60">
        <f t="shared" si="0"/>
        <v>2137.5</v>
      </c>
      <c r="I29" s="60">
        <v>4</v>
      </c>
      <c r="J29" s="60">
        <f t="shared" si="1"/>
        <v>2223</v>
      </c>
      <c r="K29" s="60"/>
      <c r="L29" s="60">
        <f t="shared" si="2"/>
        <v>0</v>
      </c>
    </row>
    <row r="30" spans="1:12">
      <c r="A30" s="4">
        <v>8</v>
      </c>
      <c r="B30" s="5" t="s">
        <v>64</v>
      </c>
      <c r="C30" s="6" t="s">
        <v>3</v>
      </c>
      <c r="D30" s="5" t="s">
        <v>22</v>
      </c>
      <c r="E30" s="7" t="s">
        <v>23</v>
      </c>
      <c r="F30" s="52">
        <v>3280</v>
      </c>
      <c r="G30" s="60">
        <v>5</v>
      </c>
      <c r="H30" s="60">
        <f t="shared" si="0"/>
        <v>3116</v>
      </c>
      <c r="I30" s="60">
        <v>4</v>
      </c>
      <c r="J30" s="60">
        <f t="shared" si="1"/>
        <v>3240.64</v>
      </c>
      <c r="K30" s="60"/>
      <c r="L30" s="60">
        <f t="shared" si="2"/>
        <v>0</v>
      </c>
    </row>
    <row r="31" spans="1:12">
      <c r="A31" s="8">
        <v>9</v>
      </c>
      <c r="B31" s="9" t="s">
        <v>65</v>
      </c>
      <c r="C31" s="27" t="s">
        <v>3</v>
      </c>
      <c r="D31" s="9" t="s">
        <v>18</v>
      </c>
      <c r="E31" s="10" t="s">
        <v>24</v>
      </c>
      <c r="F31" s="53">
        <v>2150</v>
      </c>
      <c r="G31" s="60">
        <v>5</v>
      </c>
      <c r="H31" s="60">
        <f t="shared" si="0"/>
        <v>2042.5</v>
      </c>
      <c r="I31" s="60">
        <v>4</v>
      </c>
      <c r="J31" s="60">
        <f t="shared" si="1"/>
        <v>2124.1999999999998</v>
      </c>
      <c r="K31" s="60"/>
      <c r="L31" s="60">
        <f t="shared" si="2"/>
        <v>0</v>
      </c>
    </row>
    <row r="32" spans="1:12">
      <c r="A32" s="8">
        <v>10</v>
      </c>
      <c r="B32" s="9" t="s">
        <v>66</v>
      </c>
      <c r="C32" s="27" t="s">
        <v>3</v>
      </c>
      <c r="D32" s="9" t="s">
        <v>18</v>
      </c>
      <c r="E32" s="10" t="s">
        <v>25</v>
      </c>
      <c r="F32" s="53">
        <v>1520</v>
      </c>
      <c r="G32" s="60">
        <v>5</v>
      </c>
      <c r="H32" s="60">
        <f t="shared" si="0"/>
        <v>1444</v>
      </c>
      <c r="I32" s="60">
        <v>4</v>
      </c>
      <c r="J32" s="60">
        <f t="shared" si="1"/>
        <v>1501.76</v>
      </c>
      <c r="K32" s="60"/>
      <c r="L32" s="60">
        <f t="shared" si="2"/>
        <v>0</v>
      </c>
    </row>
    <row r="33" spans="1:12">
      <c r="A33" s="8">
        <v>11</v>
      </c>
      <c r="B33" s="9" t="s">
        <v>67</v>
      </c>
      <c r="C33" s="27" t="s">
        <v>26</v>
      </c>
      <c r="D33" s="9" t="s">
        <v>18</v>
      </c>
      <c r="E33" s="10" t="s">
        <v>27</v>
      </c>
      <c r="F33" s="53">
        <v>1620</v>
      </c>
      <c r="G33" s="60">
        <v>5</v>
      </c>
      <c r="H33" s="60">
        <f t="shared" si="0"/>
        <v>1539</v>
      </c>
      <c r="I33" s="60">
        <v>4</v>
      </c>
      <c r="J33" s="60">
        <f t="shared" si="1"/>
        <v>1600.56</v>
      </c>
      <c r="K33" s="60"/>
      <c r="L33" s="60">
        <f t="shared" si="2"/>
        <v>0</v>
      </c>
    </row>
    <row r="34" spans="1:12">
      <c r="A34" s="8">
        <v>12</v>
      </c>
      <c r="B34" s="9" t="s">
        <v>68</v>
      </c>
      <c r="C34" s="27" t="s">
        <v>3</v>
      </c>
      <c r="D34" s="9" t="s">
        <v>28</v>
      </c>
      <c r="E34" s="10" t="s">
        <v>29</v>
      </c>
      <c r="F34" s="53">
        <v>1820</v>
      </c>
      <c r="G34" s="60">
        <v>5</v>
      </c>
      <c r="H34" s="60">
        <f t="shared" si="0"/>
        <v>1729</v>
      </c>
      <c r="I34" s="60">
        <v>4</v>
      </c>
      <c r="J34" s="60">
        <f t="shared" si="1"/>
        <v>1798.16</v>
      </c>
      <c r="K34" s="60"/>
      <c r="L34" s="60">
        <f t="shared" si="2"/>
        <v>0</v>
      </c>
    </row>
    <row r="35" spans="1:12">
      <c r="A35" s="8">
        <v>13</v>
      </c>
      <c r="B35" s="9" t="s">
        <v>69</v>
      </c>
      <c r="C35" s="27" t="s">
        <v>0</v>
      </c>
      <c r="D35" s="9" t="s">
        <v>28</v>
      </c>
      <c r="E35" s="10" t="s">
        <v>30</v>
      </c>
      <c r="F35" s="53">
        <v>1820</v>
      </c>
      <c r="G35" s="60">
        <v>5</v>
      </c>
      <c r="H35" s="60">
        <f t="shared" si="0"/>
        <v>1729</v>
      </c>
      <c r="I35" s="60">
        <v>4</v>
      </c>
      <c r="J35" s="60">
        <f t="shared" si="1"/>
        <v>1798.16</v>
      </c>
      <c r="K35" s="60"/>
      <c r="L35" s="60">
        <f t="shared" si="2"/>
        <v>0</v>
      </c>
    </row>
    <row r="36" spans="1:12">
      <c r="A36" s="4">
        <v>14</v>
      </c>
      <c r="B36" s="5" t="s">
        <v>70</v>
      </c>
      <c r="C36" s="6" t="s">
        <v>26</v>
      </c>
      <c r="D36" s="5" t="s">
        <v>22</v>
      </c>
      <c r="E36" s="7" t="s">
        <v>31</v>
      </c>
      <c r="F36" s="52">
        <v>1940</v>
      </c>
      <c r="G36" s="60">
        <v>5</v>
      </c>
      <c r="H36" s="60">
        <f t="shared" si="0"/>
        <v>1843</v>
      </c>
      <c r="I36" s="60">
        <v>4</v>
      </c>
      <c r="J36" s="60">
        <f t="shared" si="1"/>
        <v>1916.72</v>
      </c>
      <c r="K36" s="60"/>
      <c r="L36" s="60">
        <f t="shared" si="2"/>
        <v>0</v>
      </c>
    </row>
    <row r="37" spans="1:12">
      <c r="A37" s="4">
        <v>15</v>
      </c>
      <c r="B37" s="5" t="s">
        <v>71</v>
      </c>
      <c r="C37" s="6" t="s">
        <v>0</v>
      </c>
      <c r="D37" s="5" t="s">
        <v>18</v>
      </c>
      <c r="E37" s="7" t="s">
        <v>32</v>
      </c>
      <c r="F37" s="52">
        <v>1120</v>
      </c>
      <c r="G37" s="60">
        <v>5</v>
      </c>
      <c r="H37" s="60">
        <f t="shared" si="0"/>
        <v>1064</v>
      </c>
      <c r="I37" s="60">
        <v>4</v>
      </c>
      <c r="J37" s="60">
        <f t="shared" si="1"/>
        <v>1106.56</v>
      </c>
      <c r="K37" s="60"/>
      <c r="L37" s="60">
        <f t="shared" si="2"/>
        <v>0</v>
      </c>
    </row>
    <row r="38" spans="1:12">
      <c r="A38" s="4">
        <v>16</v>
      </c>
      <c r="B38" s="5" t="s">
        <v>72</v>
      </c>
      <c r="C38" s="6" t="s">
        <v>3</v>
      </c>
      <c r="D38" s="5" t="s">
        <v>18</v>
      </c>
      <c r="E38" s="7" t="s">
        <v>32</v>
      </c>
      <c r="F38" s="52">
        <v>1180</v>
      </c>
      <c r="G38" s="60">
        <v>5</v>
      </c>
      <c r="H38" s="60">
        <f t="shared" si="0"/>
        <v>1121</v>
      </c>
      <c r="I38" s="60">
        <v>4</v>
      </c>
      <c r="J38" s="60">
        <f t="shared" si="1"/>
        <v>1165.8399999999999</v>
      </c>
      <c r="K38" s="60"/>
      <c r="L38" s="60">
        <f t="shared" si="2"/>
        <v>0</v>
      </c>
    </row>
    <row r="39" spans="1:12">
      <c r="A39" s="8">
        <v>17</v>
      </c>
      <c r="B39" s="9" t="s">
        <v>73</v>
      </c>
      <c r="C39" s="27" t="s">
        <v>0</v>
      </c>
      <c r="D39" s="9" t="s">
        <v>33</v>
      </c>
      <c r="E39" s="10" t="s">
        <v>34</v>
      </c>
      <c r="F39" s="53">
        <v>1300</v>
      </c>
      <c r="G39" s="60">
        <v>5</v>
      </c>
      <c r="H39" s="60">
        <f t="shared" si="0"/>
        <v>1235</v>
      </c>
      <c r="I39" s="60">
        <v>4</v>
      </c>
      <c r="J39" s="60">
        <f t="shared" si="1"/>
        <v>1284.4000000000001</v>
      </c>
      <c r="K39" s="60"/>
      <c r="L39" s="60">
        <f t="shared" si="2"/>
        <v>0</v>
      </c>
    </row>
    <row r="40" spans="1:12">
      <c r="A40" s="8">
        <v>18</v>
      </c>
      <c r="B40" s="9" t="s">
        <v>74</v>
      </c>
      <c r="C40" s="27" t="s">
        <v>3</v>
      </c>
      <c r="D40" s="9" t="s">
        <v>33</v>
      </c>
      <c r="E40" s="10" t="s">
        <v>34</v>
      </c>
      <c r="F40" s="53">
        <v>1380</v>
      </c>
      <c r="G40" s="60">
        <v>5</v>
      </c>
      <c r="H40" s="60">
        <f t="shared" si="0"/>
        <v>1311</v>
      </c>
      <c r="I40" s="60">
        <v>4</v>
      </c>
      <c r="J40" s="60">
        <f t="shared" si="1"/>
        <v>1363.44</v>
      </c>
      <c r="K40" s="60"/>
      <c r="L40" s="60">
        <f t="shared" si="2"/>
        <v>0</v>
      </c>
    </row>
    <row r="41" spans="1:12">
      <c r="A41" s="4">
        <v>19</v>
      </c>
      <c r="B41" s="5" t="s">
        <v>75</v>
      </c>
      <c r="C41" s="6" t="s">
        <v>0</v>
      </c>
      <c r="D41" s="5" t="s">
        <v>28</v>
      </c>
      <c r="E41" s="7" t="s">
        <v>35</v>
      </c>
      <c r="F41" s="52">
        <v>1510</v>
      </c>
      <c r="G41" s="60">
        <v>5</v>
      </c>
      <c r="H41" s="60">
        <f t="shared" si="0"/>
        <v>1434.5</v>
      </c>
      <c r="I41" s="60">
        <v>4</v>
      </c>
      <c r="J41" s="60">
        <f t="shared" si="1"/>
        <v>1491.88</v>
      </c>
      <c r="K41" s="60"/>
      <c r="L41" s="60">
        <f t="shared" si="2"/>
        <v>0</v>
      </c>
    </row>
    <row r="42" spans="1:12">
      <c r="A42" s="4">
        <v>20</v>
      </c>
      <c r="B42" s="5" t="s">
        <v>76</v>
      </c>
      <c r="C42" s="6" t="s">
        <v>3</v>
      </c>
      <c r="D42" s="5" t="s">
        <v>28</v>
      </c>
      <c r="E42" s="7" t="s">
        <v>36</v>
      </c>
      <c r="F42" s="52">
        <v>1580</v>
      </c>
      <c r="G42" s="60">
        <v>5</v>
      </c>
      <c r="H42" s="60">
        <f t="shared" si="0"/>
        <v>1501</v>
      </c>
      <c r="I42" s="60">
        <v>4</v>
      </c>
      <c r="J42" s="60">
        <f t="shared" si="1"/>
        <v>1561.04</v>
      </c>
      <c r="K42" s="60"/>
      <c r="L42" s="60">
        <f t="shared" si="2"/>
        <v>0</v>
      </c>
    </row>
    <row r="43" spans="1:12">
      <c r="A43" s="63" t="s">
        <v>77</v>
      </c>
      <c r="B43" s="64"/>
      <c r="C43" s="64"/>
      <c r="D43" s="64"/>
      <c r="E43" s="65"/>
      <c r="F43" s="64"/>
      <c r="G43" s="66"/>
      <c r="H43" s="66">
        <f t="shared" si="0"/>
        <v>0</v>
      </c>
      <c r="I43" s="66"/>
      <c r="J43" s="66">
        <f t="shared" si="1"/>
        <v>0</v>
      </c>
      <c r="K43" s="66"/>
      <c r="L43" s="66">
        <f t="shared" si="2"/>
        <v>0</v>
      </c>
    </row>
    <row r="44" spans="1:12">
      <c r="A44" s="4">
        <v>1</v>
      </c>
      <c r="B44" s="5" t="s">
        <v>78</v>
      </c>
      <c r="C44" s="5" t="s">
        <v>79</v>
      </c>
      <c r="D44" s="5" t="s">
        <v>18</v>
      </c>
      <c r="E44" s="12" t="s">
        <v>80</v>
      </c>
      <c r="F44" s="52">
        <v>2150</v>
      </c>
      <c r="G44" s="60">
        <v>4</v>
      </c>
      <c r="H44" s="60">
        <f t="shared" si="0"/>
        <v>2064</v>
      </c>
      <c r="I44" s="60">
        <v>3</v>
      </c>
      <c r="J44" s="60">
        <f t="shared" si="1"/>
        <v>2125.92</v>
      </c>
      <c r="K44" s="60"/>
      <c r="L44" s="60">
        <f t="shared" si="2"/>
        <v>0</v>
      </c>
    </row>
    <row r="45" spans="1:12">
      <c r="A45" s="4">
        <v>2</v>
      </c>
      <c r="B45" s="5" t="s">
        <v>81</v>
      </c>
      <c r="C45" s="5" t="s">
        <v>82</v>
      </c>
      <c r="D45" s="5" t="s">
        <v>18</v>
      </c>
      <c r="E45" s="12" t="s">
        <v>83</v>
      </c>
      <c r="F45" s="52">
        <v>3140</v>
      </c>
      <c r="G45" s="60">
        <v>4</v>
      </c>
      <c r="H45" s="60">
        <f t="shared" si="0"/>
        <v>3014.4</v>
      </c>
      <c r="I45" s="60">
        <v>3</v>
      </c>
      <c r="J45" s="60">
        <f t="shared" si="1"/>
        <v>3104.8319999999999</v>
      </c>
      <c r="K45" s="60"/>
      <c r="L45" s="60">
        <f t="shared" si="2"/>
        <v>0</v>
      </c>
    </row>
    <row r="46" spans="1:12">
      <c r="A46" s="4">
        <v>3</v>
      </c>
      <c r="B46" s="5" t="s">
        <v>84</v>
      </c>
      <c r="C46" s="5" t="s">
        <v>85</v>
      </c>
      <c r="D46" s="5" t="s">
        <v>18</v>
      </c>
      <c r="E46" s="12" t="s">
        <v>86</v>
      </c>
      <c r="F46" s="52">
        <v>5320</v>
      </c>
      <c r="G46" s="60">
        <v>4</v>
      </c>
      <c r="H46" s="60">
        <f t="shared" si="0"/>
        <v>5107.2</v>
      </c>
      <c r="I46" s="60">
        <v>3</v>
      </c>
      <c r="J46" s="60">
        <f t="shared" si="1"/>
        <v>5260.4160000000002</v>
      </c>
      <c r="K46" s="60"/>
      <c r="L46" s="60">
        <f t="shared" si="2"/>
        <v>0</v>
      </c>
    </row>
    <row r="47" spans="1:12">
      <c r="A47" s="63" t="s">
        <v>87</v>
      </c>
      <c r="B47" s="64"/>
      <c r="C47" s="64"/>
      <c r="D47" s="64"/>
      <c r="E47" s="65"/>
      <c r="F47" s="64"/>
      <c r="G47" s="66"/>
      <c r="H47" s="66">
        <f t="shared" si="0"/>
        <v>0</v>
      </c>
      <c r="I47" s="66"/>
      <c r="J47" s="66">
        <f t="shared" si="1"/>
        <v>0</v>
      </c>
      <c r="K47" s="66"/>
      <c r="L47" s="66">
        <f t="shared" si="2"/>
        <v>0</v>
      </c>
    </row>
    <row r="48" spans="1:12">
      <c r="A48" s="4">
        <v>1</v>
      </c>
      <c r="B48" s="5" t="s">
        <v>88</v>
      </c>
      <c r="C48" s="5" t="s">
        <v>79</v>
      </c>
      <c r="D48" s="5" t="s">
        <v>89</v>
      </c>
      <c r="E48" s="7" t="s">
        <v>90</v>
      </c>
      <c r="F48" s="52">
        <v>3440</v>
      </c>
      <c r="G48" s="60">
        <v>4</v>
      </c>
      <c r="H48" s="60">
        <f t="shared" si="0"/>
        <v>3302.4</v>
      </c>
      <c r="I48" s="60">
        <v>3</v>
      </c>
      <c r="J48" s="60">
        <f t="shared" si="1"/>
        <v>3401.4720000000002</v>
      </c>
      <c r="K48" s="60"/>
      <c r="L48" s="60">
        <f t="shared" si="2"/>
        <v>0</v>
      </c>
    </row>
    <row r="49" spans="1:12">
      <c r="A49" s="4">
        <v>2</v>
      </c>
      <c r="B49" s="5" t="s">
        <v>91</v>
      </c>
      <c r="C49" s="5" t="s">
        <v>82</v>
      </c>
      <c r="D49" s="5" t="s">
        <v>89</v>
      </c>
      <c r="E49" s="7" t="s">
        <v>92</v>
      </c>
      <c r="F49" s="52">
        <v>4930</v>
      </c>
      <c r="G49" s="60">
        <v>4</v>
      </c>
      <c r="H49" s="60">
        <f t="shared" si="0"/>
        <v>4732.8</v>
      </c>
      <c r="I49" s="60">
        <v>3</v>
      </c>
      <c r="J49" s="60">
        <f t="shared" si="1"/>
        <v>4874.7840000000006</v>
      </c>
      <c r="K49" s="60"/>
      <c r="L49" s="60">
        <f t="shared" si="2"/>
        <v>0</v>
      </c>
    </row>
    <row r="50" spans="1:12">
      <c r="A50" s="4">
        <v>3</v>
      </c>
      <c r="B50" s="5" t="s">
        <v>93</v>
      </c>
      <c r="C50" s="5" t="s">
        <v>82</v>
      </c>
      <c r="D50" s="5" t="s">
        <v>89</v>
      </c>
      <c r="E50" s="7" t="s">
        <v>94</v>
      </c>
      <c r="F50" s="52">
        <v>9130</v>
      </c>
      <c r="G50" s="60">
        <v>4</v>
      </c>
      <c r="H50" s="60">
        <f t="shared" si="0"/>
        <v>8764.7999999999993</v>
      </c>
      <c r="I50" s="60">
        <v>3</v>
      </c>
      <c r="J50" s="60">
        <f t="shared" si="1"/>
        <v>9027.7439999999988</v>
      </c>
      <c r="K50" s="60"/>
      <c r="L50" s="60">
        <f t="shared" si="2"/>
        <v>0</v>
      </c>
    </row>
    <row r="51" spans="1:12">
      <c r="A51" s="4">
        <v>4</v>
      </c>
      <c r="B51" s="5" t="s">
        <v>95</v>
      </c>
      <c r="C51" s="5" t="s">
        <v>85</v>
      </c>
      <c r="D51" s="5" t="s">
        <v>89</v>
      </c>
      <c r="E51" s="7" t="s">
        <v>96</v>
      </c>
      <c r="F51" s="52">
        <v>8510</v>
      </c>
      <c r="G51" s="60">
        <v>4</v>
      </c>
      <c r="H51" s="60">
        <f t="shared" si="0"/>
        <v>8169.6</v>
      </c>
      <c r="I51" s="60">
        <v>3</v>
      </c>
      <c r="J51" s="60">
        <f t="shared" si="1"/>
        <v>8414.6880000000001</v>
      </c>
      <c r="K51" s="60"/>
      <c r="L51" s="60">
        <f t="shared" si="2"/>
        <v>0</v>
      </c>
    </row>
    <row r="52" spans="1:12">
      <c r="A52" s="8">
        <v>5</v>
      </c>
      <c r="B52" s="9" t="s">
        <v>97</v>
      </c>
      <c r="C52" s="9" t="s">
        <v>79</v>
      </c>
      <c r="D52" s="9" t="s">
        <v>89</v>
      </c>
      <c r="E52" s="11" t="s">
        <v>98</v>
      </c>
      <c r="F52" s="53">
        <v>3440</v>
      </c>
      <c r="G52" s="60">
        <v>4</v>
      </c>
      <c r="H52" s="60">
        <f t="shared" si="0"/>
        <v>3302.4</v>
      </c>
      <c r="I52" s="60">
        <v>3</v>
      </c>
      <c r="J52" s="60">
        <f t="shared" si="1"/>
        <v>3401.4720000000002</v>
      </c>
      <c r="K52" s="60"/>
      <c r="L52" s="60">
        <f t="shared" si="2"/>
        <v>0</v>
      </c>
    </row>
    <row r="53" spans="1:12">
      <c r="A53" s="8">
        <v>6</v>
      </c>
      <c r="B53" s="9" t="s">
        <v>99</v>
      </c>
      <c r="C53" s="9" t="s">
        <v>82</v>
      </c>
      <c r="D53" s="9" t="s">
        <v>89</v>
      </c>
      <c r="E53" s="11" t="s">
        <v>100</v>
      </c>
      <c r="F53" s="53">
        <v>4930</v>
      </c>
      <c r="G53" s="60">
        <v>4</v>
      </c>
      <c r="H53" s="60">
        <f t="shared" si="0"/>
        <v>4732.8</v>
      </c>
      <c r="I53" s="60">
        <v>3</v>
      </c>
      <c r="J53" s="60">
        <f t="shared" si="1"/>
        <v>4874.7840000000006</v>
      </c>
      <c r="K53" s="60"/>
      <c r="L53" s="60">
        <f t="shared" si="2"/>
        <v>0</v>
      </c>
    </row>
    <row r="54" spans="1:12">
      <c r="A54" s="8">
        <v>7</v>
      </c>
      <c r="B54" s="9" t="s">
        <v>101</v>
      </c>
      <c r="C54" s="9" t="s">
        <v>85</v>
      </c>
      <c r="D54" s="9" t="s">
        <v>89</v>
      </c>
      <c r="E54" s="11" t="s">
        <v>102</v>
      </c>
      <c r="F54" s="53">
        <v>8510</v>
      </c>
      <c r="G54" s="60">
        <v>4</v>
      </c>
      <c r="H54" s="60">
        <f t="shared" si="0"/>
        <v>8169.6</v>
      </c>
      <c r="I54" s="60">
        <v>3</v>
      </c>
      <c r="J54" s="60">
        <f t="shared" si="1"/>
        <v>8414.6880000000001</v>
      </c>
      <c r="K54" s="60"/>
      <c r="L54" s="60">
        <f t="shared" si="2"/>
        <v>0</v>
      </c>
    </row>
    <row r="55" spans="1:12">
      <c r="A55" s="8">
        <v>8</v>
      </c>
      <c r="B55" s="9" t="s">
        <v>103</v>
      </c>
      <c r="C55" s="9" t="s">
        <v>79</v>
      </c>
      <c r="D55" s="9" t="s">
        <v>89</v>
      </c>
      <c r="E55" s="10" t="s">
        <v>104</v>
      </c>
      <c r="F55" s="53">
        <v>4030</v>
      </c>
      <c r="G55" s="60">
        <v>4</v>
      </c>
      <c r="H55" s="60">
        <f t="shared" si="0"/>
        <v>3868.8</v>
      </c>
      <c r="I55" s="60">
        <v>3</v>
      </c>
      <c r="J55" s="60">
        <f t="shared" si="1"/>
        <v>3984.864</v>
      </c>
      <c r="K55" s="60"/>
      <c r="L55" s="60">
        <f t="shared" si="2"/>
        <v>0</v>
      </c>
    </row>
    <row r="56" spans="1:12">
      <c r="A56" s="8">
        <v>9</v>
      </c>
      <c r="B56" s="9" t="s">
        <v>105</v>
      </c>
      <c r="C56" s="9" t="s">
        <v>82</v>
      </c>
      <c r="D56" s="9" t="s">
        <v>89</v>
      </c>
      <c r="E56" s="10" t="s">
        <v>106</v>
      </c>
      <c r="F56" s="53">
        <v>5840</v>
      </c>
      <c r="G56" s="60">
        <v>4</v>
      </c>
      <c r="H56" s="60">
        <f t="shared" si="0"/>
        <v>5606.4</v>
      </c>
      <c r="I56" s="60">
        <v>3</v>
      </c>
      <c r="J56" s="60">
        <f t="shared" si="1"/>
        <v>5774.5919999999996</v>
      </c>
      <c r="K56" s="60"/>
      <c r="L56" s="60">
        <f t="shared" si="2"/>
        <v>0</v>
      </c>
    </row>
    <row r="57" spans="1:12">
      <c r="A57" s="8">
        <v>10</v>
      </c>
      <c r="B57" s="9" t="s">
        <v>107</v>
      </c>
      <c r="C57" s="9" t="s">
        <v>85</v>
      </c>
      <c r="D57" s="9" t="s">
        <v>89</v>
      </c>
      <c r="E57" s="11" t="s">
        <v>108</v>
      </c>
      <c r="F57" s="53">
        <v>10110</v>
      </c>
      <c r="G57" s="60">
        <v>4</v>
      </c>
      <c r="H57" s="60">
        <f t="shared" si="0"/>
        <v>9705.6</v>
      </c>
      <c r="I57" s="60">
        <v>3</v>
      </c>
      <c r="J57" s="60">
        <f t="shared" si="1"/>
        <v>9996.768</v>
      </c>
      <c r="K57" s="60"/>
      <c r="L57" s="60">
        <f t="shared" si="2"/>
        <v>0</v>
      </c>
    </row>
    <row r="58" spans="1:12">
      <c r="A58" s="8">
        <v>11</v>
      </c>
      <c r="B58" s="9" t="s">
        <v>109</v>
      </c>
      <c r="C58" s="9" t="s">
        <v>85</v>
      </c>
      <c r="D58" s="9" t="s">
        <v>89</v>
      </c>
      <c r="E58" s="11" t="s">
        <v>108</v>
      </c>
      <c r="F58" s="53">
        <v>13430</v>
      </c>
      <c r="G58" s="60">
        <v>4</v>
      </c>
      <c r="H58" s="60">
        <f t="shared" si="0"/>
        <v>12892.8</v>
      </c>
      <c r="I58" s="60">
        <v>3</v>
      </c>
      <c r="J58" s="60">
        <f t="shared" si="1"/>
        <v>13279.583999999999</v>
      </c>
      <c r="K58" s="60"/>
      <c r="L58" s="60">
        <f t="shared" si="2"/>
        <v>0</v>
      </c>
    </row>
    <row r="59" spans="1:12">
      <c r="A59" s="4">
        <v>12</v>
      </c>
      <c r="B59" s="5" t="s">
        <v>110</v>
      </c>
      <c r="C59" s="5" t="s">
        <v>111</v>
      </c>
      <c r="D59" s="5" t="s">
        <v>18</v>
      </c>
      <c r="E59" s="12" t="s">
        <v>112</v>
      </c>
      <c r="F59" s="52">
        <v>18000</v>
      </c>
      <c r="G59" s="60">
        <v>4</v>
      </c>
      <c r="H59" s="60">
        <f t="shared" si="0"/>
        <v>17280</v>
      </c>
      <c r="I59" s="60">
        <v>3</v>
      </c>
      <c r="J59" s="60">
        <f t="shared" si="1"/>
        <v>17798.400000000001</v>
      </c>
      <c r="K59" s="60"/>
      <c r="L59" s="60">
        <f t="shared" si="2"/>
        <v>0</v>
      </c>
    </row>
    <row r="60" spans="1:12">
      <c r="A60" s="4">
        <v>13</v>
      </c>
      <c r="B60" s="5" t="s">
        <v>113</v>
      </c>
      <c r="C60" s="5" t="s">
        <v>111</v>
      </c>
      <c r="D60" s="5" t="s">
        <v>89</v>
      </c>
      <c r="E60" s="7" t="s">
        <v>114</v>
      </c>
      <c r="F60" s="52">
        <v>22000</v>
      </c>
      <c r="G60" s="60">
        <v>4</v>
      </c>
      <c r="H60" s="60">
        <f t="shared" si="0"/>
        <v>21120</v>
      </c>
      <c r="I60" s="60">
        <v>3</v>
      </c>
      <c r="J60" s="60">
        <f t="shared" si="1"/>
        <v>21753.599999999999</v>
      </c>
      <c r="K60" s="60"/>
      <c r="L60" s="60">
        <f t="shared" si="2"/>
        <v>0</v>
      </c>
    </row>
    <row r="61" spans="1:12">
      <c r="A61" s="63" t="s">
        <v>115</v>
      </c>
      <c r="B61" s="64"/>
      <c r="C61" s="64"/>
      <c r="D61" s="64"/>
      <c r="E61" s="65"/>
      <c r="F61" s="64"/>
      <c r="G61" s="66"/>
      <c r="H61" s="66">
        <f t="shared" si="0"/>
        <v>0</v>
      </c>
      <c r="I61" s="66"/>
      <c r="J61" s="66">
        <f t="shared" si="1"/>
        <v>0</v>
      </c>
      <c r="K61" s="66"/>
      <c r="L61" s="66">
        <f t="shared" si="2"/>
        <v>0</v>
      </c>
    </row>
    <row r="62" spans="1:12">
      <c r="A62" s="4">
        <v>1</v>
      </c>
      <c r="B62" s="5" t="s">
        <v>116</v>
      </c>
      <c r="C62" s="5" t="s">
        <v>79</v>
      </c>
      <c r="D62" s="5" t="s">
        <v>117</v>
      </c>
      <c r="E62" s="7" t="s">
        <v>118</v>
      </c>
      <c r="F62" s="52">
        <v>5040</v>
      </c>
      <c r="G62" s="60">
        <v>4</v>
      </c>
      <c r="H62" s="60">
        <f t="shared" si="0"/>
        <v>4838.3999999999996</v>
      </c>
      <c r="I62" s="60">
        <v>3</v>
      </c>
      <c r="J62" s="60">
        <f t="shared" si="1"/>
        <v>4983.5519999999997</v>
      </c>
      <c r="K62" s="60"/>
      <c r="L62" s="60">
        <f t="shared" si="2"/>
        <v>0</v>
      </c>
    </row>
    <row r="63" spans="1:12">
      <c r="A63" s="4">
        <v>2</v>
      </c>
      <c r="B63" s="5" t="s">
        <v>119</v>
      </c>
      <c r="C63" s="5" t="s">
        <v>82</v>
      </c>
      <c r="D63" s="5" t="s">
        <v>117</v>
      </c>
      <c r="E63" s="7" t="s">
        <v>120</v>
      </c>
      <c r="F63" s="52">
        <v>8120</v>
      </c>
      <c r="G63" s="60">
        <v>4</v>
      </c>
      <c r="H63" s="60">
        <f t="shared" si="0"/>
        <v>7795.2</v>
      </c>
      <c r="I63" s="60">
        <v>3</v>
      </c>
      <c r="J63" s="60">
        <f t="shared" si="1"/>
        <v>8029.0559999999996</v>
      </c>
      <c r="K63" s="60"/>
      <c r="L63" s="60">
        <f t="shared" si="2"/>
        <v>0</v>
      </c>
    </row>
    <row r="64" spans="1:12">
      <c r="A64" s="8">
        <v>3</v>
      </c>
      <c r="B64" s="9" t="s">
        <v>121</v>
      </c>
      <c r="C64" s="9" t="s">
        <v>82</v>
      </c>
      <c r="D64" s="9" t="s">
        <v>117</v>
      </c>
      <c r="E64" s="11" t="s">
        <v>122</v>
      </c>
      <c r="F64" s="53">
        <v>6850</v>
      </c>
      <c r="G64" s="60">
        <v>4</v>
      </c>
      <c r="H64" s="60">
        <f t="shared" si="0"/>
        <v>6576</v>
      </c>
      <c r="I64" s="60">
        <v>3</v>
      </c>
      <c r="J64" s="60">
        <f t="shared" si="1"/>
        <v>6773.28</v>
      </c>
      <c r="K64" s="60"/>
      <c r="L64" s="60">
        <f t="shared" si="2"/>
        <v>0</v>
      </c>
    </row>
    <row r="65" spans="1:12">
      <c r="A65" s="4">
        <v>4</v>
      </c>
      <c r="B65" s="5" t="s">
        <v>123</v>
      </c>
      <c r="C65" s="5" t="s">
        <v>82</v>
      </c>
      <c r="D65" s="5" t="s">
        <v>117</v>
      </c>
      <c r="E65" s="7" t="s">
        <v>120</v>
      </c>
      <c r="F65" s="52">
        <v>11260</v>
      </c>
      <c r="G65" s="60">
        <v>4</v>
      </c>
      <c r="H65" s="60">
        <f t="shared" si="0"/>
        <v>10809.6</v>
      </c>
      <c r="I65" s="60">
        <v>3</v>
      </c>
      <c r="J65" s="60">
        <f t="shared" si="1"/>
        <v>11133.888000000001</v>
      </c>
      <c r="K65" s="60"/>
      <c r="L65" s="60">
        <f t="shared" si="2"/>
        <v>0</v>
      </c>
    </row>
    <row r="66" spans="1:12">
      <c r="A66" s="8">
        <v>5</v>
      </c>
      <c r="B66" s="9" t="s">
        <v>124</v>
      </c>
      <c r="C66" s="9" t="s">
        <v>85</v>
      </c>
      <c r="D66" s="9" t="s">
        <v>117</v>
      </c>
      <c r="E66" s="11" t="s">
        <v>125</v>
      </c>
      <c r="F66" s="53">
        <v>14500</v>
      </c>
      <c r="G66" s="60">
        <v>4</v>
      </c>
      <c r="H66" s="60">
        <f t="shared" si="0"/>
        <v>13920</v>
      </c>
      <c r="I66" s="60">
        <v>3</v>
      </c>
      <c r="J66" s="60">
        <f t="shared" si="1"/>
        <v>14337.6</v>
      </c>
      <c r="K66" s="60"/>
      <c r="L66" s="60">
        <f t="shared" si="2"/>
        <v>0</v>
      </c>
    </row>
    <row r="67" spans="1:12">
      <c r="A67" s="13" t="s">
        <v>126</v>
      </c>
      <c r="B67" s="14"/>
      <c r="C67" s="14"/>
      <c r="D67" s="14"/>
      <c r="E67" s="22"/>
      <c r="F67" s="14"/>
      <c r="G67" s="60"/>
      <c r="H67" s="60">
        <f t="shared" si="0"/>
        <v>0</v>
      </c>
      <c r="I67" s="60"/>
      <c r="J67" s="60">
        <f t="shared" si="1"/>
        <v>0</v>
      </c>
      <c r="K67" s="60"/>
      <c r="L67" s="60">
        <f t="shared" si="2"/>
        <v>0</v>
      </c>
    </row>
    <row r="68" spans="1:12">
      <c r="A68" s="28" t="s">
        <v>127</v>
      </c>
      <c r="B68" s="28" t="s">
        <v>128</v>
      </c>
      <c r="C68" s="28" t="s">
        <v>129</v>
      </c>
      <c r="D68" s="28" t="s">
        <v>130</v>
      </c>
      <c r="E68" s="40" t="s">
        <v>131</v>
      </c>
      <c r="F68" s="54"/>
      <c r="G68" s="60"/>
      <c r="H68" s="60">
        <f t="shared" ref="H68:H131" si="3">F68-(F68*G68/100)</f>
        <v>0</v>
      </c>
      <c r="I68" s="60"/>
      <c r="J68" s="60">
        <f t="shared" ref="J68:J131" si="4">H68+(H68*I68/100)</f>
        <v>0</v>
      </c>
      <c r="K68" s="60"/>
      <c r="L68" s="60">
        <f t="shared" ref="L68:L131" si="5">J68*K68</f>
        <v>0</v>
      </c>
    </row>
    <row r="69" spans="1:12">
      <c r="A69" s="4">
        <v>1</v>
      </c>
      <c r="B69" s="5" t="s">
        <v>132</v>
      </c>
      <c r="C69" s="6" t="s">
        <v>133</v>
      </c>
      <c r="D69" s="5" t="s">
        <v>134</v>
      </c>
      <c r="E69" s="7" t="s">
        <v>135</v>
      </c>
      <c r="F69" s="52">
        <v>450</v>
      </c>
      <c r="G69" s="60">
        <v>4</v>
      </c>
      <c r="H69" s="60">
        <f t="shared" si="3"/>
        <v>432</v>
      </c>
      <c r="I69" s="60">
        <v>3</v>
      </c>
      <c r="J69" s="60">
        <f t="shared" si="4"/>
        <v>444.96</v>
      </c>
      <c r="K69" s="60"/>
      <c r="L69" s="60">
        <f t="shared" si="5"/>
        <v>0</v>
      </c>
    </row>
    <row r="70" spans="1:12">
      <c r="A70" s="4">
        <v>2</v>
      </c>
      <c r="B70" s="5" t="s">
        <v>136</v>
      </c>
      <c r="C70" s="6" t="s">
        <v>137</v>
      </c>
      <c r="D70" s="5" t="s">
        <v>134</v>
      </c>
      <c r="E70" s="7" t="s">
        <v>138</v>
      </c>
      <c r="F70" s="52">
        <v>620</v>
      </c>
      <c r="G70" s="60">
        <v>4</v>
      </c>
      <c r="H70" s="60">
        <f t="shared" si="3"/>
        <v>595.20000000000005</v>
      </c>
      <c r="I70" s="60">
        <v>3</v>
      </c>
      <c r="J70" s="60">
        <f t="shared" si="4"/>
        <v>613.05600000000004</v>
      </c>
      <c r="K70" s="60"/>
      <c r="L70" s="60">
        <f t="shared" si="5"/>
        <v>0</v>
      </c>
    </row>
    <row r="71" spans="1:12">
      <c r="A71" s="4">
        <v>3</v>
      </c>
      <c r="B71" s="5" t="s">
        <v>139</v>
      </c>
      <c r="C71" s="6" t="s">
        <v>140</v>
      </c>
      <c r="D71" s="5" t="s">
        <v>134</v>
      </c>
      <c r="E71" s="7" t="s">
        <v>138</v>
      </c>
      <c r="F71" s="52">
        <v>990</v>
      </c>
      <c r="G71" s="60">
        <v>4</v>
      </c>
      <c r="H71" s="60">
        <f t="shared" si="3"/>
        <v>950.4</v>
      </c>
      <c r="I71" s="60">
        <v>3</v>
      </c>
      <c r="J71" s="60">
        <f t="shared" si="4"/>
        <v>978.91199999999992</v>
      </c>
      <c r="K71" s="60"/>
      <c r="L71" s="60">
        <f t="shared" si="5"/>
        <v>0</v>
      </c>
    </row>
    <row r="72" spans="1:12">
      <c r="A72" s="70" t="s">
        <v>127</v>
      </c>
      <c r="B72" s="70" t="s">
        <v>128</v>
      </c>
      <c r="C72" s="70" t="s">
        <v>141</v>
      </c>
      <c r="D72" s="70" t="s">
        <v>142</v>
      </c>
      <c r="E72" s="71" t="s">
        <v>131</v>
      </c>
      <c r="F72" s="72"/>
      <c r="G72" s="66"/>
      <c r="H72" s="66">
        <f t="shared" si="3"/>
        <v>0</v>
      </c>
      <c r="I72" s="66"/>
      <c r="J72" s="66">
        <f t="shared" si="4"/>
        <v>0</v>
      </c>
      <c r="K72" s="66"/>
      <c r="L72" s="66">
        <f t="shared" si="5"/>
        <v>0</v>
      </c>
    </row>
    <row r="73" spans="1:12">
      <c r="A73" s="4">
        <v>1</v>
      </c>
      <c r="B73" s="5" t="s">
        <v>143</v>
      </c>
      <c r="C73" s="6" t="s">
        <v>144</v>
      </c>
      <c r="D73" s="5" t="s">
        <v>145</v>
      </c>
      <c r="E73" s="7" t="s">
        <v>146</v>
      </c>
      <c r="F73" s="52">
        <v>1840</v>
      </c>
      <c r="G73" s="60">
        <v>4</v>
      </c>
      <c r="H73" s="60">
        <f t="shared" si="3"/>
        <v>1766.4</v>
      </c>
      <c r="I73" s="60">
        <v>3</v>
      </c>
      <c r="J73" s="60">
        <f t="shared" si="4"/>
        <v>1819.3920000000001</v>
      </c>
      <c r="K73" s="60"/>
      <c r="L73" s="60">
        <f t="shared" si="5"/>
        <v>0</v>
      </c>
    </row>
    <row r="74" spans="1:12">
      <c r="A74" s="4">
        <v>2</v>
      </c>
      <c r="B74" s="5" t="s">
        <v>147</v>
      </c>
      <c r="C74" s="6" t="s">
        <v>148</v>
      </c>
      <c r="D74" s="5" t="s">
        <v>145</v>
      </c>
      <c r="E74" s="7" t="s">
        <v>146</v>
      </c>
      <c r="F74" s="52">
        <v>3600</v>
      </c>
      <c r="G74" s="60">
        <v>4</v>
      </c>
      <c r="H74" s="60">
        <f t="shared" si="3"/>
        <v>3456</v>
      </c>
      <c r="I74" s="60">
        <v>3</v>
      </c>
      <c r="J74" s="60">
        <f t="shared" si="4"/>
        <v>3559.68</v>
      </c>
      <c r="K74" s="60"/>
      <c r="L74" s="60">
        <f t="shared" si="5"/>
        <v>0</v>
      </c>
    </row>
    <row r="75" spans="1:12">
      <c r="A75" s="4">
        <v>3</v>
      </c>
      <c r="B75" s="5" t="s">
        <v>149</v>
      </c>
      <c r="C75" s="6" t="s">
        <v>144</v>
      </c>
      <c r="D75" s="5" t="s">
        <v>145</v>
      </c>
      <c r="E75" s="7" t="s">
        <v>150</v>
      </c>
      <c r="F75" s="55"/>
      <c r="G75" s="60">
        <v>4</v>
      </c>
      <c r="H75" s="60">
        <f t="shared" si="3"/>
        <v>0</v>
      </c>
      <c r="I75" s="60"/>
      <c r="J75" s="60">
        <f t="shared" si="4"/>
        <v>0</v>
      </c>
      <c r="K75" s="60"/>
      <c r="L75" s="60">
        <f t="shared" si="5"/>
        <v>0</v>
      </c>
    </row>
    <row r="76" spans="1:12">
      <c r="A76" s="4">
        <v>4</v>
      </c>
      <c r="B76" s="5" t="s">
        <v>151</v>
      </c>
      <c r="C76" s="6" t="s">
        <v>148</v>
      </c>
      <c r="D76" s="5" t="s">
        <v>145</v>
      </c>
      <c r="E76" s="7" t="s">
        <v>150</v>
      </c>
      <c r="F76" s="55"/>
      <c r="G76" s="60">
        <v>4</v>
      </c>
      <c r="H76" s="60">
        <f t="shared" si="3"/>
        <v>0</v>
      </c>
      <c r="I76" s="60"/>
      <c r="J76" s="60">
        <f t="shared" si="4"/>
        <v>0</v>
      </c>
      <c r="K76" s="60"/>
      <c r="L76" s="60">
        <f t="shared" si="5"/>
        <v>0</v>
      </c>
    </row>
    <row r="77" spans="1:12">
      <c r="A77" s="4">
        <v>5</v>
      </c>
      <c r="B77" s="5" t="s">
        <v>152</v>
      </c>
      <c r="C77" s="6" t="s">
        <v>153</v>
      </c>
      <c r="D77" s="5" t="s">
        <v>145</v>
      </c>
      <c r="E77" s="7" t="s">
        <v>154</v>
      </c>
      <c r="F77" s="55"/>
      <c r="G77" s="60">
        <v>4</v>
      </c>
      <c r="H77" s="60">
        <f t="shared" si="3"/>
        <v>0</v>
      </c>
      <c r="I77" s="60"/>
      <c r="J77" s="60">
        <f t="shared" si="4"/>
        <v>0</v>
      </c>
      <c r="K77" s="60"/>
      <c r="L77" s="60">
        <f t="shared" si="5"/>
        <v>0</v>
      </c>
    </row>
    <row r="78" spans="1:12">
      <c r="A78" s="4">
        <v>6</v>
      </c>
      <c r="B78" s="5" t="s">
        <v>155</v>
      </c>
      <c r="C78" s="6" t="s">
        <v>153</v>
      </c>
      <c r="D78" s="5" t="s">
        <v>145</v>
      </c>
      <c r="E78" s="7" t="s">
        <v>156</v>
      </c>
      <c r="F78" s="52">
        <v>7200</v>
      </c>
      <c r="G78" s="60">
        <v>4</v>
      </c>
      <c r="H78" s="60">
        <f t="shared" si="3"/>
        <v>6912</v>
      </c>
      <c r="I78" s="60">
        <v>3</v>
      </c>
      <c r="J78" s="60">
        <f t="shared" si="4"/>
        <v>7119.36</v>
      </c>
      <c r="K78" s="60"/>
      <c r="L78" s="60">
        <f t="shared" si="5"/>
        <v>0</v>
      </c>
    </row>
    <row r="79" spans="1:12">
      <c r="A79" s="73" t="s">
        <v>157</v>
      </c>
      <c r="B79" s="74"/>
      <c r="C79" s="74"/>
      <c r="D79" s="74"/>
      <c r="E79" s="75"/>
      <c r="F79" s="74"/>
      <c r="G79" s="66"/>
      <c r="H79" s="66">
        <f t="shared" si="3"/>
        <v>0</v>
      </c>
      <c r="I79" s="66"/>
      <c r="J79" s="66">
        <f t="shared" si="4"/>
        <v>0</v>
      </c>
      <c r="K79" s="66"/>
      <c r="L79" s="66">
        <f t="shared" si="5"/>
        <v>0</v>
      </c>
    </row>
    <row r="80" spans="1:12">
      <c r="A80" s="30" t="s">
        <v>127</v>
      </c>
      <c r="B80" s="30" t="s">
        <v>128</v>
      </c>
      <c r="C80" s="30" t="s">
        <v>158</v>
      </c>
      <c r="D80" s="30" t="s">
        <v>159</v>
      </c>
      <c r="E80" s="17" t="s">
        <v>131</v>
      </c>
      <c r="F80" s="56"/>
      <c r="G80" s="60"/>
      <c r="H80" s="60">
        <f t="shared" si="3"/>
        <v>0</v>
      </c>
      <c r="I80" s="60"/>
      <c r="J80" s="60">
        <f t="shared" si="4"/>
        <v>0</v>
      </c>
      <c r="K80" s="60"/>
      <c r="L80" s="60">
        <f t="shared" si="5"/>
        <v>0</v>
      </c>
    </row>
    <row r="81" spans="1:12">
      <c r="A81" s="35" t="s">
        <v>160</v>
      </c>
      <c r="B81" s="36"/>
      <c r="C81" s="36"/>
      <c r="D81" s="36"/>
      <c r="E81" s="41"/>
      <c r="F81" s="36"/>
      <c r="G81" s="60"/>
      <c r="H81" s="60">
        <f t="shared" si="3"/>
        <v>0</v>
      </c>
      <c r="I81" s="60"/>
      <c r="J81" s="60">
        <f t="shared" si="4"/>
        <v>0</v>
      </c>
      <c r="K81" s="60"/>
      <c r="L81" s="60">
        <f t="shared" si="5"/>
        <v>0</v>
      </c>
    </row>
    <row r="82" spans="1:12">
      <c r="A82" s="4">
        <v>1</v>
      </c>
      <c r="B82" s="5" t="s">
        <v>161</v>
      </c>
      <c r="C82" s="6" t="s">
        <v>162</v>
      </c>
      <c r="D82" s="5" t="s">
        <v>163</v>
      </c>
      <c r="E82" s="7" t="s">
        <v>164</v>
      </c>
      <c r="F82" s="52">
        <v>3450</v>
      </c>
      <c r="G82" s="60">
        <v>4</v>
      </c>
      <c r="H82" s="60">
        <f t="shared" si="3"/>
        <v>3312</v>
      </c>
      <c r="I82" s="60">
        <v>3</v>
      </c>
      <c r="J82" s="60">
        <f t="shared" si="4"/>
        <v>3411.36</v>
      </c>
      <c r="K82" s="60"/>
      <c r="L82" s="60">
        <f t="shared" si="5"/>
        <v>0</v>
      </c>
    </row>
    <row r="83" spans="1:12">
      <c r="A83" s="4">
        <v>2</v>
      </c>
      <c r="B83" s="5" t="s">
        <v>165</v>
      </c>
      <c r="C83" s="6" t="s">
        <v>166</v>
      </c>
      <c r="D83" s="5" t="s">
        <v>167</v>
      </c>
      <c r="E83" s="7" t="s">
        <v>164</v>
      </c>
      <c r="F83" s="52">
        <v>4100</v>
      </c>
      <c r="G83" s="60">
        <v>4</v>
      </c>
      <c r="H83" s="60">
        <f t="shared" si="3"/>
        <v>3936</v>
      </c>
      <c r="I83" s="60">
        <v>3</v>
      </c>
      <c r="J83" s="60">
        <f t="shared" si="4"/>
        <v>4054.08</v>
      </c>
      <c r="K83" s="60"/>
      <c r="L83" s="60">
        <f t="shared" si="5"/>
        <v>0</v>
      </c>
    </row>
    <row r="84" spans="1:12">
      <c r="A84" s="4">
        <v>3</v>
      </c>
      <c r="B84" s="5" t="s">
        <v>168</v>
      </c>
      <c r="C84" s="6" t="s">
        <v>169</v>
      </c>
      <c r="D84" s="5" t="s">
        <v>170</v>
      </c>
      <c r="E84" s="7" t="s">
        <v>171</v>
      </c>
      <c r="F84" s="52">
        <v>5600</v>
      </c>
      <c r="G84" s="60">
        <v>4</v>
      </c>
      <c r="H84" s="60">
        <f t="shared" si="3"/>
        <v>5376</v>
      </c>
      <c r="I84" s="60">
        <v>3</v>
      </c>
      <c r="J84" s="60">
        <f t="shared" si="4"/>
        <v>5537.28</v>
      </c>
      <c r="K84" s="60"/>
      <c r="L84" s="60">
        <f t="shared" si="5"/>
        <v>0</v>
      </c>
    </row>
    <row r="85" spans="1:12">
      <c r="A85" s="4">
        <v>4</v>
      </c>
      <c r="B85" s="5" t="s">
        <v>172</v>
      </c>
      <c r="C85" s="6" t="s">
        <v>162</v>
      </c>
      <c r="D85" s="5" t="s">
        <v>163</v>
      </c>
      <c r="E85" s="7" t="s">
        <v>173</v>
      </c>
      <c r="F85" s="52">
        <v>5000</v>
      </c>
      <c r="G85" s="60">
        <v>4</v>
      </c>
      <c r="H85" s="60">
        <f t="shared" si="3"/>
        <v>4800</v>
      </c>
      <c r="I85" s="60">
        <v>3</v>
      </c>
      <c r="J85" s="60">
        <f t="shared" si="4"/>
        <v>4944</v>
      </c>
      <c r="K85" s="60"/>
      <c r="L85" s="60">
        <f t="shared" si="5"/>
        <v>0</v>
      </c>
    </row>
    <row r="86" spans="1:12">
      <c r="A86" s="4">
        <v>5</v>
      </c>
      <c r="B86" s="5" t="s">
        <v>174</v>
      </c>
      <c r="C86" s="6" t="s">
        <v>166</v>
      </c>
      <c r="D86" s="5" t="s">
        <v>175</v>
      </c>
      <c r="E86" s="7" t="s">
        <v>173</v>
      </c>
      <c r="F86" s="52">
        <v>5550</v>
      </c>
      <c r="G86" s="60">
        <v>4</v>
      </c>
      <c r="H86" s="60">
        <f t="shared" si="3"/>
        <v>5328</v>
      </c>
      <c r="I86" s="60">
        <v>3</v>
      </c>
      <c r="J86" s="60">
        <f t="shared" si="4"/>
        <v>5487.84</v>
      </c>
      <c r="K86" s="60"/>
      <c r="L86" s="60">
        <f t="shared" si="5"/>
        <v>0</v>
      </c>
    </row>
    <row r="87" spans="1:12">
      <c r="A87" s="4">
        <v>6</v>
      </c>
      <c r="B87" s="5" t="s">
        <v>176</v>
      </c>
      <c r="C87" s="6" t="s">
        <v>169</v>
      </c>
      <c r="D87" s="5" t="s">
        <v>170</v>
      </c>
      <c r="E87" s="7" t="s">
        <v>177</v>
      </c>
      <c r="F87" s="52">
        <v>6200</v>
      </c>
      <c r="G87" s="60">
        <v>4</v>
      </c>
      <c r="H87" s="60">
        <f t="shared" si="3"/>
        <v>5952</v>
      </c>
      <c r="I87" s="60">
        <v>3</v>
      </c>
      <c r="J87" s="60">
        <f t="shared" si="4"/>
        <v>6130.56</v>
      </c>
      <c r="K87" s="60"/>
      <c r="L87" s="60">
        <f t="shared" si="5"/>
        <v>0</v>
      </c>
    </row>
    <row r="88" spans="1:12">
      <c r="A88" s="4">
        <v>7</v>
      </c>
      <c r="B88" s="5" t="s">
        <v>178</v>
      </c>
      <c r="C88" s="6" t="s">
        <v>166</v>
      </c>
      <c r="D88" s="5" t="s">
        <v>175</v>
      </c>
      <c r="E88" s="7" t="s">
        <v>173</v>
      </c>
      <c r="F88" s="52">
        <v>6700</v>
      </c>
      <c r="G88" s="60">
        <v>4</v>
      </c>
      <c r="H88" s="60">
        <f t="shared" si="3"/>
        <v>6432</v>
      </c>
      <c r="I88" s="60">
        <v>3</v>
      </c>
      <c r="J88" s="60">
        <f t="shared" si="4"/>
        <v>6624.96</v>
      </c>
      <c r="K88" s="60"/>
      <c r="L88" s="60">
        <f t="shared" si="5"/>
        <v>0</v>
      </c>
    </row>
    <row r="89" spans="1:12">
      <c r="A89" s="4">
        <v>8</v>
      </c>
      <c r="B89" s="5" t="s">
        <v>179</v>
      </c>
      <c r="C89" s="6" t="s">
        <v>169</v>
      </c>
      <c r="D89" s="5" t="s">
        <v>170</v>
      </c>
      <c r="E89" s="7" t="s">
        <v>177</v>
      </c>
      <c r="F89" s="52">
        <v>8000</v>
      </c>
      <c r="G89" s="60">
        <v>4</v>
      </c>
      <c r="H89" s="60">
        <f t="shared" si="3"/>
        <v>7680</v>
      </c>
      <c r="I89" s="60">
        <v>3</v>
      </c>
      <c r="J89" s="60">
        <f t="shared" si="4"/>
        <v>7910.4</v>
      </c>
      <c r="K89" s="60"/>
      <c r="L89" s="60">
        <f t="shared" si="5"/>
        <v>0</v>
      </c>
    </row>
    <row r="90" spans="1:12">
      <c r="A90" s="4">
        <v>9</v>
      </c>
      <c r="B90" s="5" t="s">
        <v>180</v>
      </c>
      <c r="C90" s="6" t="s">
        <v>169</v>
      </c>
      <c r="D90" s="5" t="s">
        <v>170</v>
      </c>
      <c r="E90" s="7" t="s">
        <v>177</v>
      </c>
      <c r="F90" s="52">
        <v>16250</v>
      </c>
      <c r="G90" s="60">
        <v>4</v>
      </c>
      <c r="H90" s="60">
        <f t="shared" si="3"/>
        <v>15600</v>
      </c>
      <c r="I90" s="60">
        <v>3</v>
      </c>
      <c r="J90" s="60">
        <f t="shared" si="4"/>
        <v>16068</v>
      </c>
      <c r="K90" s="60"/>
      <c r="L90" s="60">
        <f t="shared" si="5"/>
        <v>0</v>
      </c>
    </row>
    <row r="91" spans="1:12">
      <c r="A91" s="35" t="s">
        <v>181</v>
      </c>
      <c r="B91" s="36"/>
      <c r="C91" s="36"/>
      <c r="D91" s="36"/>
      <c r="E91" s="41"/>
      <c r="F91" s="36"/>
      <c r="G91" s="60"/>
      <c r="H91" s="60">
        <f t="shared" si="3"/>
        <v>0</v>
      </c>
      <c r="I91" s="60"/>
      <c r="J91" s="60">
        <f t="shared" si="4"/>
        <v>0</v>
      </c>
      <c r="K91" s="60"/>
      <c r="L91" s="60">
        <f t="shared" si="5"/>
        <v>0</v>
      </c>
    </row>
    <row r="92" spans="1:12">
      <c r="A92" s="4">
        <v>1</v>
      </c>
      <c r="B92" s="5" t="s">
        <v>182</v>
      </c>
      <c r="C92" s="6" t="s">
        <v>162</v>
      </c>
      <c r="D92" s="5" t="s">
        <v>163</v>
      </c>
      <c r="E92" s="7" t="s">
        <v>183</v>
      </c>
      <c r="F92" s="52">
        <v>6350</v>
      </c>
      <c r="G92" s="60">
        <v>4</v>
      </c>
      <c r="H92" s="60">
        <f t="shared" si="3"/>
        <v>6096</v>
      </c>
      <c r="I92" s="60">
        <v>3</v>
      </c>
      <c r="J92" s="60">
        <f t="shared" si="4"/>
        <v>6278.88</v>
      </c>
      <c r="K92" s="60"/>
      <c r="L92" s="60">
        <f t="shared" si="5"/>
        <v>0</v>
      </c>
    </row>
    <row r="93" spans="1:12">
      <c r="A93" s="4">
        <v>2</v>
      </c>
      <c r="B93" s="5" t="s">
        <v>184</v>
      </c>
      <c r="C93" s="6" t="s">
        <v>166</v>
      </c>
      <c r="D93" s="5" t="s">
        <v>175</v>
      </c>
      <c r="E93" s="7" t="s">
        <v>185</v>
      </c>
      <c r="F93" s="52">
        <v>6950</v>
      </c>
      <c r="G93" s="60">
        <v>4</v>
      </c>
      <c r="H93" s="60">
        <f t="shared" si="3"/>
        <v>6672</v>
      </c>
      <c r="I93" s="60">
        <v>3</v>
      </c>
      <c r="J93" s="60">
        <f t="shared" si="4"/>
        <v>6872.16</v>
      </c>
      <c r="K93" s="60"/>
      <c r="L93" s="60">
        <f t="shared" si="5"/>
        <v>0</v>
      </c>
    </row>
    <row r="94" spans="1:12">
      <c r="A94" s="4">
        <v>3</v>
      </c>
      <c r="B94" s="5" t="s">
        <v>186</v>
      </c>
      <c r="C94" s="6" t="s">
        <v>169</v>
      </c>
      <c r="D94" s="5" t="s">
        <v>170</v>
      </c>
      <c r="E94" s="7" t="s">
        <v>187</v>
      </c>
      <c r="F94" s="52">
        <v>8350</v>
      </c>
      <c r="G94" s="60">
        <v>4</v>
      </c>
      <c r="H94" s="60">
        <f t="shared" si="3"/>
        <v>8016</v>
      </c>
      <c r="I94" s="60">
        <v>3</v>
      </c>
      <c r="J94" s="60">
        <f t="shared" si="4"/>
        <v>8256.48</v>
      </c>
      <c r="K94" s="60"/>
      <c r="L94" s="60">
        <f t="shared" si="5"/>
        <v>0</v>
      </c>
    </row>
    <row r="95" spans="1:12">
      <c r="A95" s="4">
        <v>4</v>
      </c>
      <c r="B95" s="5" t="s">
        <v>188</v>
      </c>
      <c r="C95" s="6" t="s">
        <v>166</v>
      </c>
      <c r="D95" s="5" t="s">
        <v>175</v>
      </c>
      <c r="E95" s="7" t="s">
        <v>189</v>
      </c>
      <c r="F95" s="52">
        <v>9000</v>
      </c>
      <c r="G95" s="60">
        <v>4</v>
      </c>
      <c r="H95" s="60">
        <f t="shared" si="3"/>
        <v>8640</v>
      </c>
      <c r="I95" s="60">
        <v>3</v>
      </c>
      <c r="J95" s="60">
        <f t="shared" si="4"/>
        <v>8899.2000000000007</v>
      </c>
      <c r="K95" s="60"/>
      <c r="L95" s="60">
        <f t="shared" si="5"/>
        <v>0</v>
      </c>
    </row>
    <row r="96" spans="1:12">
      <c r="A96" s="4">
        <v>5</v>
      </c>
      <c r="B96" s="5" t="s">
        <v>190</v>
      </c>
      <c r="C96" s="6" t="s">
        <v>169</v>
      </c>
      <c r="D96" s="5" t="s">
        <v>170</v>
      </c>
      <c r="E96" s="7" t="s">
        <v>191</v>
      </c>
      <c r="F96" s="52">
        <v>9950</v>
      </c>
      <c r="G96" s="60">
        <v>4</v>
      </c>
      <c r="H96" s="60">
        <f t="shared" si="3"/>
        <v>9552</v>
      </c>
      <c r="I96" s="60">
        <v>3</v>
      </c>
      <c r="J96" s="60">
        <f t="shared" si="4"/>
        <v>9838.56</v>
      </c>
      <c r="K96" s="60"/>
      <c r="L96" s="60">
        <f t="shared" si="5"/>
        <v>0</v>
      </c>
    </row>
    <row r="97" spans="1:12">
      <c r="A97" s="4">
        <v>6</v>
      </c>
      <c r="B97" s="5" t="s">
        <v>192</v>
      </c>
      <c r="C97" s="6" t="s">
        <v>193</v>
      </c>
      <c r="D97" s="5" t="s">
        <v>194</v>
      </c>
      <c r="E97" s="7" t="s">
        <v>195</v>
      </c>
      <c r="F97" s="52">
        <v>12000</v>
      </c>
      <c r="G97" s="60">
        <v>4</v>
      </c>
      <c r="H97" s="60">
        <f t="shared" si="3"/>
        <v>11520</v>
      </c>
      <c r="I97" s="60">
        <v>3</v>
      </c>
      <c r="J97" s="60">
        <f t="shared" si="4"/>
        <v>11865.6</v>
      </c>
      <c r="K97" s="60"/>
      <c r="L97" s="60">
        <f t="shared" si="5"/>
        <v>0</v>
      </c>
    </row>
    <row r="98" spans="1:12">
      <c r="A98" s="4">
        <v>7</v>
      </c>
      <c r="B98" s="5" t="s">
        <v>196</v>
      </c>
      <c r="C98" s="6" t="s">
        <v>169</v>
      </c>
      <c r="D98" s="5" t="s">
        <v>170</v>
      </c>
      <c r="E98" s="7" t="s">
        <v>197</v>
      </c>
      <c r="F98" s="52">
        <v>19500</v>
      </c>
      <c r="G98" s="60">
        <v>4</v>
      </c>
      <c r="H98" s="60">
        <f t="shared" si="3"/>
        <v>18720</v>
      </c>
      <c r="I98" s="60">
        <v>3</v>
      </c>
      <c r="J98" s="60">
        <f t="shared" si="4"/>
        <v>19281.599999999999</v>
      </c>
      <c r="K98" s="60"/>
      <c r="L98" s="60">
        <f t="shared" si="5"/>
        <v>0</v>
      </c>
    </row>
    <row r="99" spans="1:12">
      <c r="A99" s="4">
        <v>8</v>
      </c>
      <c r="B99" s="5" t="s">
        <v>198</v>
      </c>
      <c r="C99" s="6" t="s">
        <v>193</v>
      </c>
      <c r="D99" s="5" t="s">
        <v>194</v>
      </c>
      <c r="E99" s="7" t="s">
        <v>199</v>
      </c>
      <c r="F99" s="52">
        <v>24500</v>
      </c>
      <c r="G99" s="60">
        <v>4</v>
      </c>
      <c r="H99" s="60">
        <f t="shared" si="3"/>
        <v>23520</v>
      </c>
      <c r="I99" s="60">
        <v>3</v>
      </c>
      <c r="J99" s="60">
        <f t="shared" si="4"/>
        <v>24225.599999999999</v>
      </c>
      <c r="K99" s="60"/>
      <c r="L99" s="60">
        <f t="shared" si="5"/>
        <v>0</v>
      </c>
    </row>
    <row r="100" spans="1:12">
      <c r="A100" s="4">
        <v>9</v>
      </c>
      <c r="B100" s="5" t="s">
        <v>200</v>
      </c>
      <c r="C100" s="6" t="s">
        <v>193</v>
      </c>
      <c r="D100" s="5" t="s">
        <v>194</v>
      </c>
      <c r="E100" s="7" t="s">
        <v>201</v>
      </c>
      <c r="F100" s="52">
        <v>41500</v>
      </c>
      <c r="G100" s="60">
        <v>4</v>
      </c>
      <c r="H100" s="60">
        <f t="shared" si="3"/>
        <v>39840</v>
      </c>
      <c r="I100" s="60">
        <v>3</v>
      </c>
      <c r="J100" s="60">
        <f t="shared" si="4"/>
        <v>41035.199999999997</v>
      </c>
      <c r="K100" s="60"/>
      <c r="L100" s="60">
        <f t="shared" si="5"/>
        <v>0</v>
      </c>
    </row>
    <row r="101" spans="1:12">
      <c r="A101" s="4">
        <v>10</v>
      </c>
      <c r="B101" s="5" t="s">
        <v>202</v>
      </c>
      <c r="C101" s="6" t="s">
        <v>203</v>
      </c>
      <c r="D101" s="5" t="s">
        <v>204</v>
      </c>
      <c r="E101" s="7" t="s">
        <v>205</v>
      </c>
      <c r="F101" s="52">
        <v>33500</v>
      </c>
      <c r="G101" s="60">
        <v>4</v>
      </c>
      <c r="H101" s="60">
        <f t="shared" si="3"/>
        <v>32160</v>
      </c>
      <c r="I101" s="60">
        <v>3</v>
      </c>
      <c r="J101" s="60">
        <f t="shared" si="4"/>
        <v>33124.800000000003</v>
      </c>
      <c r="K101" s="60"/>
      <c r="L101" s="60">
        <f t="shared" si="5"/>
        <v>0</v>
      </c>
    </row>
    <row r="102" spans="1:12">
      <c r="A102" s="73" t="s">
        <v>206</v>
      </c>
      <c r="B102" s="74"/>
      <c r="C102" s="74"/>
      <c r="D102" s="74"/>
      <c r="E102" s="75"/>
      <c r="F102" s="74"/>
      <c r="G102" s="66"/>
      <c r="H102" s="66">
        <f t="shared" si="3"/>
        <v>0</v>
      </c>
      <c r="I102" s="66"/>
      <c r="J102" s="66">
        <f t="shared" si="4"/>
        <v>0</v>
      </c>
      <c r="K102" s="66"/>
      <c r="L102" s="66">
        <f t="shared" si="5"/>
        <v>0</v>
      </c>
    </row>
    <row r="103" spans="1:12">
      <c r="A103" s="18" t="s">
        <v>127</v>
      </c>
      <c r="B103" s="18" t="s">
        <v>128</v>
      </c>
      <c r="C103" s="18" t="s">
        <v>207</v>
      </c>
      <c r="D103" s="18" t="s">
        <v>208</v>
      </c>
      <c r="E103" s="19" t="s">
        <v>131</v>
      </c>
      <c r="F103" s="57"/>
      <c r="G103" s="60"/>
      <c r="H103" s="60">
        <f t="shared" si="3"/>
        <v>0</v>
      </c>
      <c r="I103" s="60"/>
      <c r="J103" s="60">
        <f t="shared" si="4"/>
        <v>0</v>
      </c>
      <c r="K103" s="60"/>
      <c r="L103" s="60">
        <f t="shared" si="5"/>
        <v>0</v>
      </c>
    </row>
    <row r="104" spans="1:12">
      <c r="A104" s="20" t="s">
        <v>209</v>
      </c>
      <c r="B104" s="21"/>
      <c r="C104" s="21"/>
      <c r="D104" s="21"/>
      <c r="E104" s="42"/>
      <c r="F104" s="21"/>
      <c r="G104" s="60"/>
      <c r="H104" s="60">
        <f t="shared" si="3"/>
        <v>0</v>
      </c>
      <c r="I104" s="60"/>
      <c r="J104" s="60">
        <f t="shared" si="4"/>
        <v>0</v>
      </c>
      <c r="K104" s="60"/>
      <c r="L104" s="60">
        <f t="shared" si="5"/>
        <v>0</v>
      </c>
    </row>
    <row r="105" spans="1:12">
      <c r="A105" s="4">
        <v>1</v>
      </c>
      <c r="B105" s="5" t="s">
        <v>210</v>
      </c>
      <c r="C105" s="6" t="s">
        <v>211</v>
      </c>
      <c r="D105" s="5" t="s">
        <v>212</v>
      </c>
      <c r="E105" s="7" t="s">
        <v>213</v>
      </c>
      <c r="F105" s="52">
        <v>4060</v>
      </c>
      <c r="G105" s="60">
        <v>4</v>
      </c>
      <c r="H105" s="60">
        <f t="shared" si="3"/>
        <v>3897.6</v>
      </c>
      <c r="I105" s="60">
        <v>3</v>
      </c>
      <c r="J105" s="60">
        <f t="shared" si="4"/>
        <v>4014.5279999999998</v>
      </c>
      <c r="K105" s="60"/>
      <c r="L105" s="60">
        <f t="shared" si="5"/>
        <v>0</v>
      </c>
    </row>
    <row r="106" spans="1:12">
      <c r="A106" s="4">
        <v>2</v>
      </c>
      <c r="B106" s="5" t="s">
        <v>214</v>
      </c>
      <c r="C106" s="6" t="s">
        <v>211</v>
      </c>
      <c r="D106" s="5" t="s">
        <v>212</v>
      </c>
      <c r="E106" s="7" t="s">
        <v>215</v>
      </c>
      <c r="F106" s="52">
        <v>4350</v>
      </c>
      <c r="G106" s="60">
        <v>4</v>
      </c>
      <c r="H106" s="60">
        <f t="shared" si="3"/>
        <v>4176</v>
      </c>
      <c r="I106" s="60">
        <v>3</v>
      </c>
      <c r="J106" s="60">
        <f t="shared" si="4"/>
        <v>4301.28</v>
      </c>
      <c r="K106" s="60"/>
      <c r="L106" s="60">
        <f t="shared" si="5"/>
        <v>0</v>
      </c>
    </row>
    <row r="107" spans="1:12">
      <c r="A107" s="4">
        <v>3</v>
      </c>
      <c r="B107" s="5" t="s">
        <v>216</v>
      </c>
      <c r="C107" s="6" t="s">
        <v>217</v>
      </c>
      <c r="D107" s="5" t="s">
        <v>212</v>
      </c>
      <c r="E107" s="7" t="s">
        <v>218</v>
      </c>
      <c r="F107" s="52">
        <v>2900</v>
      </c>
      <c r="G107" s="60">
        <v>4</v>
      </c>
      <c r="H107" s="60">
        <f t="shared" si="3"/>
        <v>2784</v>
      </c>
      <c r="I107" s="60">
        <v>3</v>
      </c>
      <c r="J107" s="60">
        <f t="shared" si="4"/>
        <v>2867.52</v>
      </c>
      <c r="K107" s="60"/>
      <c r="L107" s="60">
        <f t="shared" si="5"/>
        <v>0</v>
      </c>
    </row>
    <row r="108" spans="1:12">
      <c r="A108" s="20" t="s">
        <v>219</v>
      </c>
      <c r="B108" s="21"/>
      <c r="C108" s="21"/>
      <c r="D108" s="21"/>
      <c r="E108" s="42"/>
      <c r="F108" s="21"/>
      <c r="G108" s="60"/>
      <c r="H108" s="60">
        <f t="shared" si="3"/>
        <v>0</v>
      </c>
      <c r="I108" s="60"/>
      <c r="J108" s="60">
        <f t="shared" si="4"/>
        <v>0</v>
      </c>
      <c r="K108" s="60"/>
      <c r="L108" s="60">
        <f t="shared" si="5"/>
        <v>0</v>
      </c>
    </row>
    <row r="109" spans="1:12">
      <c r="A109" s="4">
        <v>1</v>
      </c>
      <c r="B109" s="5" t="s">
        <v>220</v>
      </c>
      <c r="C109" s="6" t="s">
        <v>211</v>
      </c>
      <c r="D109" s="5" t="s">
        <v>212</v>
      </c>
      <c r="E109" s="7" t="s">
        <v>221</v>
      </c>
      <c r="F109" s="52">
        <v>14990</v>
      </c>
      <c r="G109" s="60">
        <v>4</v>
      </c>
      <c r="H109" s="60">
        <f t="shared" si="3"/>
        <v>14390.4</v>
      </c>
      <c r="I109" s="60">
        <v>3</v>
      </c>
      <c r="J109" s="60">
        <f t="shared" si="4"/>
        <v>14822.111999999999</v>
      </c>
      <c r="K109" s="60"/>
      <c r="L109" s="60">
        <f t="shared" si="5"/>
        <v>0</v>
      </c>
    </row>
    <row r="110" spans="1:12">
      <c r="A110" s="4">
        <v>2</v>
      </c>
      <c r="B110" s="5" t="s">
        <v>222</v>
      </c>
      <c r="C110" s="6" t="s">
        <v>211</v>
      </c>
      <c r="D110" s="5" t="s">
        <v>212</v>
      </c>
      <c r="E110" s="7" t="s">
        <v>223</v>
      </c>
      <c r="F110" s="52">
        <v>11850</v>
      </c>
      <c r="G110" s="60">
        <v>4</v>
      </c>
      <c r="H110" s="60">
        <f t="shared" si="3"/>
        <v>11376</v>
      </c>
      <c r="I110" s="60">
        <v>3</v>
      </c>
      <c r="J110" s="60">
        <f t="shared" si="4"/>
        <v>11717.28</v>
      </c>
      <c r="K110" s="60"/>
      <c r="L110" s="60">
        <f t="shared" si="5"/>
        <v>0</v>
      </c>
    </row>
    <row r="111" spans="1:12">
      <c r="A111" s="4">
        <v>3</v>
      </c>
      <c r="B111" s="5" t="s">
        <v>224</v>
      </c>
      <c r="C111" s="6" t="s">
        <v>217</v>
      </c>
      <c r="D111" s="5" t="s">
        <v>212</v>
      </c>
      <c r="E111" s="7" t="s">
        <v>225</v>
      </c>
      <c r="F111" s="52">
        <v>5500</v>
      </c>
      <c r="G111" s="60">
        <v>4</v>
      </c>
      <c r="H111" s="60">
        <f t="shared" si="3"/>
        <v>5280</v>
      </c>
      <c r="I111" s="60">
        <v>3</v>
      </c>
      <c r="J111" s="60">
        <f t="shared" si="4"/>
        <v>5438.4</v>
      </c>
      <c r="K111" s="60"/>
      <c r="L111" s="60">
        <f t="shared" si="5"/>
        <v>0</v>
      </c>
    </row>
    <row r="112" spans="1:12">
      <c r="A112" s="4">
        <v>4</v>
      </c>
      <c r="B112" s="5" t="s">
        <v>226</v>
      </c>
      <c r="C112" s="6" t="s">
        <v>227</v>
      </c>
      <c r="D112" s="5" t="s">
        <v>228</v>
      </c>
      <c r="E112" s="7" t="s">
        <v>229</v>
      </c>
      <c r="F112" s="52">
        <v>8900</v>
      </c>
      <c r="G112" s="60">
        <v>4</v>
      </c>
      <c r="H112" s="60">
        <f t="shared" si="3"/>
        <v>8544</v>
      </c>
      <c r="I112" s="60">
        <v>3</v>
      </c>
      <c r="J112" s="60">
        <f t="shared" si="4"/>
        <v>8800.32</v>
      </c>
      <c r="K112" s="60"/>
      <c r="L112" s="60">
        <f t="shared" si="5"/>
        <v>0</v>
      </c>
    </row>
    <row r="113" spans="1:12">
      <c r="A113" s="73" t="s">
        <v>230</v>
      </c>
      <c r="B113" s="74"/>
      <c r="C113" s="74"/>
      <c r="D113" s="74"/>
      <c r="E113" s="75"/>
      <c r="F113" s="74"/>
      <c r="G113" s="66"/>
      <c r="H113" s="66">
        <f t="shared" si="3"/>
        <v>0</v>
      </c>
      <c r="I113" s="66"/>
      <c r="J113" s="66">
        <f t="shared" si="4"/>
        <v>0</v>
      </c>
      <c r="K113" s="66"/>
      <c r="L113" s="66">
        <f t="shared" si="5"/>
        <v>0</v>
      </c>
    </row>
    <row r="114" spans="1:12">
      <c r="A114" s="24" t="s">
        <v>127</v>
      </c>
      <c r="B114" s="24" t="s">
        <v>128</v>
      </c>
      <c r="C114" s="24" t="s">
        <v>231</v>
      </c>
      <c r="D114" s="24" t="s">
        <v>232</v>
      </c>
      <c r="E114" s="25" t="s">
        <v>131</v>
      </c>
      <c r="F114" s="58"/>
      <c r="G114" s="60"/>
      <c r="H114" s="60">
        <f t="shared" si="3"/>
        <v>0</v>
      </c>
      <c r="I114" s="60"/>
      <c r="J114" s="60">
        <f t="shared" si="4"/>
        <v>0</v>
      </c>
      <c r="K114" s="60"/>
      <c r="L114" s="60">
        <f t="shared" si="5"/>
        <v>0</v>
      </c>
    </row>
    <row r="115" spans="1:12">
      <c r="A115" s="37" t="s">
        <v>233</v>
      </c>
      <c r="B115" s="38"/>
      <c r="C115" s="38"/>
      <c r="D115" s="38"/>
      <c r="E115" s="23"/>
      <c r="F115" s="38"/>
      <c r="G115" s="60"/>
      <c r="H115" s="60">
        <f t="shared" si="3"/>
        <v>0</v>
      </c>
      <c r="I115" s="60"/>
      <c r="J115" s="60">
        <f t="shared" si="4"/>
        <v>0</v>
      </c>
      <c r="K115" s="60"/>
      <c r="L115" s="60">
        <f t="shared" si="5"/>
        <v>0</v>
      </c>
    </row>
    <row r="116" spans="1:12">
      <c r="A116" s="4">
        <v>1</v>
      </c>
      <c r="B116" s="5" t="s">
        <v>234</v>
      </c>
      <c r="C116" s="5" t="s">
        <v>228</v>
      </c>
      <c r="D116" s="4">
        <v>1000</v>
      </c>
      <c r="E116" s="7" t="s">
        <v>235</v>
      </c>
      <c r="F116" s="55"/>
      <c r="G116" s="60"/>
      <c r="H116" s="60">
        <f t="shared" si="3"/>
        <v>0</v>
      </c>
      <c r="I116" s="60"/>
      <c r="J116" s="60">
        <f t="shared" si="4"/>
        <v>0</v>
      </c>
      <c r="K116" s="60"/>
      <c r="L116" s="60">
        <f t="shared" si="5"/>
        <v>0</v>
      </c>
    </row>
    <row r="117" spans="1:12">
      <c r="A117" s="4">
        <v>2</v>
      </c>
      <c r="B117" s="5" t="s">
        <v>236</v>
      </c>
      <c r="C117" s="5" t="s">
        <v>228</v>
      </c>
      <c r="D117" s="4">
        <v>1000</v>
      </c>
      <c r="E117" s="7" t="s">
        <v>237</v>
      </c>
      <c r="F117" s="55"/>
      <c r="G117" s="60"/>
      <c r="H117" s="60">
        <f t="shared" si="3"/>
        <v>0</v>
      </c>
      <c r="I117" s="60"/>
      <c r="J117" s="60">
        <f t="shared" si="4"/>
        <v>0</v>
      </c>
      <c r="K117" s="60"/>
      <c r="L117" s="60">
        <f t="shared" si="5"/>
        <v>0</v>
      </c>
    </row>
    <row r="118" spans="1:12">
      <c r="A118" s="4">
        <v>3</v>
      </c>
      <c r="B118" s="5" t="s">
        <v>238</v>
      </c>
      <c r="C118" s="4">
        <v>1500</v>
      </c>
      <c r="D118" s="5" t="s">
        <v>228</v>
      </c>
      <c r="E118" s="7" t="s">
        <v>239</v>
      </c>
      <c r="F118" s="55"/>
      <c r="G118" s="60"/>
      <c r="H118" s="60">
        <f t="shared" si="3"/>
        <v>0</v>
      </c>
      <c r="I118" s="60"/>
      <c r="J118" s="60">
        <f t="shared" si="4"/>
        <v>0</v>
      </c>
      <c r="K118" s="60"/>
      <c r="L118" s="60">
        <f t="shared" si="5"/>
        <v>0</v>
      </c>
    </row>
    <row r="119" spans="1:12">
      <c r="A119" s="4">
        <v>4</v>
      </c>
      <c r="B119" s="5" t="s">
        <v>240</v>
      </c>
      <c r="C119" s="4">
        <v>1500</v>
      </c>
      <c r="D119" s="4">
        <v>3000</v>
      </c>
      <c r="E119" s="7" t="s">
        <v>241</v>
      </c>
      <c r="F119" s="55"/>
      <c r="G119" s="60"/>
      <c r="H119" s="60">
        <f t="shared" si="3"/>
        <v>0</v>
      </c>
      <c r="I119" s="60"/>
      <c r="J119" s="60">
        <f t="shared" si="4"/>
        <v>0</v>
      </c>
      <c r="K119" s="60"/>
      <c r="L119" s="60">
        <f t="shared" si="5"/>
        <v>0</v>
      </c>
    </row>
    <row r="120" spans="1:12">
      <c r="A120" s="37" t="s">
        <v>242</v>
      </c>
      <c r="B120" s="38"/>
      <c r="C120" s="38"/>
      <c r="D120" s="38"/>
      <c r="E120" s="23"/>
      <c r="F120" s="38"/>
      <c r="G120" s="60"/>
      <c r="H120" s="60">
        <f t="shared" si="3"/>
        <v>0</v>
      </c>
      <c r="I120" s="60"/>
      <c r="J120" s="60">
        <f t="shared" si="4"/>
        <v>0</v>
      </c>
      <c r="K120" s="60"/>
      <c r="L120" s="60">
        <f t="shared" si="5"/>
        <v>0</v>
      </c>
    </row>
    <row r="121" spans="1:12">
      <c r="A121" s="4">
        <v>1</v>
      </c>
      <c r="B121" s="5" t="s">
        <v>243</v>
      </c>
      <c r="C121" s="5" t="s">
        <v>228</v>
      </c>
      <c r="D121" s="4">
        <v>1000</v>
      </c>
      <c r="E121" s="7" t="s">
        <v>235</v>
      </c>
      <c r="F121" s="55"/>
      <c r="G121" s="60"/>
      <c r="H121" s="60">
        <f t="shared" si="3"/>
        <v>0</v>
      </c>
      <c r="I121" s="60"/>
      <c r="J121" s="60">
        <f t="shared" si="4"/>
        <v>0</v>
      </c>
      <c r="K121" s="60"/>
      <c r="L121" s="60">
        <f t="shared" si="5"/>
        <v>0</v>
      </c>
    </row>
    <row r="122" spans="1:12">
      <c r="A122" s="4">
        <v>2</v>
      </c>
      <c r="B122" s="5" t="s">
        <v>244</v>
      </c>
      <c r="C122" s="4">
        <v>500</v>
      </c>
      <c r="D122" s="5" t="s">
        <v>228</v>
      </c>
      <c r="E122" s="7" t="s">
        <v>245</v>
      </c>
      <c r="F122" s="55"/>
      <c r="G122" s="60"/>
      <c r="H122" s="60">
        <f t="shared" si="3"/>
        <v>0</v>
      </c>
      <c r="I122" s="60"/>
      <c r="J122" s="60">
        <f t="shared" si="4"/>
        <v>0</v>
      </c>
      <c r="K122" s="60"/>
      <c r="L122" s="60">
        <f t="shared" si="5"/>
        <v>0</v>
      </c>
    </row>
    <row r="123" spans="1:12">
      <c r="A123" s="4">
        <v>3</v>
      </c>
      <c r="B123" s="5" t="s">
        <v>246</v>
      </c>
      <c r="C123" s="4">
        <v>500</v>
      </c>
      <c r="D123" s="4">
        <v>1000</v>
      </c>
      <c r="E123" s="7" t="s">
        <v>245</v>
      </c>
      <c r="F123" s="52">
        <v>4350</v>
      </c>
      <c r="G123" s="60">
        <v>4</v>
      </c>
      <c r="H123" s="60">
        <f t="shared" si="3"/>
        <v>4176</v>
      </c>
      <c r="I123" s="60">
        <v>3</v>
      </c>
      <c r="J123" s="60">
        <f t="shared" si="4"/>
        <v>4301.28</v>
      </c>
      <c r="K123" s="60"/>
      <c r="L123" s="60">
        <f t="shared" si="5"/>
        <v>0</v>
      </c>
    </row>
    <row r="124" spans="1:12">
      <c r="A124" s="4">
        <v>4</v>
      </c>
      <c r="B124" s="5" t="s">
        <v>247</v>
      </c>
      <c r="C124" s="4">
        <v>500</v>
      </c>
      <c r="D124" s="4">
        <v>1000</v>
      </c>
      <c r="E124" s="7" t="s">
        <v>248</v>
      </c>
      <c r="F124" s="52">
        <v>5400</v>
      </c>
      <c r="G124" s="60">
        <v>4</v>
      </c>
      <c r="H124" s="60">
        <f t="shared" si="3"/>
        <v>5184</v>
      </c>
      <c r="I124" s="60">
        <v>3</v>
      </c>
      <c r="J124" s="60">
        <f t="shared" si="4"/>
        <v>5339.52</v>
      </c>
      <c r="K124" s="60"/>
      <c r="L124" s="60">
        <f t="shared" si="5"/>
        <v>0</v>
      </c>
    </row>
    <row r="125" spans="1:12">
      <c r="A125" s="4">
        <v>5</v>
      </c>
      <c r="B125" s="5" t="s">
        <v>249</v>
      </c>
      <c r="C125" s="4">
        <v>1000</v>
      </c>
      <c r="D125" s="5" t="s">
        <v>228</v>
      </c>
      <c r="E125" s="7" t="s">
        <v>250</v>
      </c>
      <c r="F125" s="55"/>
      <c r="G125" s="60"/>
      <c r="H125" s="60">
        <f t="shared" si="3"/>
        <v>0</v>
      </c>
      <c r="I125" s="60"/>
      <c r="J125" s="60">
        <f t="shared" si="4"/>
        <v>0</v>
      </c>
      <c r="K125" s="60"/>
      <c r="L125" s="60">
        <f t="shared" si="5"/>
        <v>0</v>
      </c>
    </row>
    <row r="126" spans="1:12">
      <c r="A126" s="4">
        <v>6</v>
      </c>
      <c r="B126" s="5" t="s">
        <v>251</v>
      </c>
      <c r="C126" s="4">
        <v>1500</v>
      </c>
      <c r="D126" s="5" t="s">
        <v>228</v>
      </c>
      <c r="E126" s="7" t="s">
        <v>252</v>
      </c>
      <c r="F126" s="55"/>
      <c r="G126" s="60"/>
      <c r="H126" s="60">
        <f t="shared" si="3"/>
        <v>0</v>
      </c>
      <c r="I126" s="60"/>
      <c r="J126" s="60">
        <f t="shared" si="4"/>
        <v>0</v>
      </c>
      <c r="K126" s="60"/>
      <c r="L126" s="60">
        <f t="shared" si="5"/>
        <v>0</v>
      </c>
    </row>
    <row r="127" spans="1:12">
      <c r="A127" s="4">
        <v>7</v>
      </c>
      <c r="B127" s="5" t="s">
        <v>253</v>
      </c>
      <c r="C127" s="4">
        <v>1500</v>
      </c>
      <c r="D127" s="4">
        <v>3000</v>
      </c>
      <c r="E127" s="7" t="s">
        <v>252</v>
      </c>
      <c r="F127" s="55"/>
      <c r="G127" s="60"/>
      <c r="H127" s="60">
        <f t="shared" si="3"/>
        <v>0</v>
      </c>
      <c r="I127" s="60"/>
      <c r="J127" s="60">
        <f t="shared" si="4"/>
        <v>0</v>
      </c>
      <c r="K127" s="60"/>
      <c r="L127" s="60">
        <f t="shared" si="5"/>
        <v>0</v>
      </c>
    </row>
    <row r="128" spans="1:12">
      <c r="A128" s="4">
        <v>8</v>
      </c>
      <c r="B128" s="5" t="s">
        <v>254</v>
      </c>
      <c r="C128" s="4">
        <v>1500</v>
      </c>
      <c r="D128" s="4">
        <v>3000</v>
      </c>
      <c r="E128" s="7" t="s">
        <v>255</v>
      </c>
      <c r="F128" s="55"/>
      <c r="G128" s="60"/>
      <c r="H128" s="60">
        <f t="shared" si="3"/>
        <v>0</v>
      </c>
      <c r="I128" s="60"/>
      <c r="J128" s="60">
        <f t="shared" si="4"/>
        <v>0</v>
      </c>
      <c r="K128" s="60"/>
      <c r="L128" s="60">
        <f t="shared" si="5"/>
        <v>0</v>
      </c>
    </row>
    <row r="129" spans="1:12">
      <c r="A129" s="4">
        <v>9</v>
      </c>
      <c r="B129" s="5" t="s">
        <v>256</v>
      </c>
      <c r="C129" s="4">
        <v>1500</v>
      </c>
      <c r="D129" s="4">
        <v>3000</v>
      </c>
      <c r="E129" s="7" t="s">
        <v>255</v>
      </c>
      <c r="F129" s="55"/>
      <c r="G129" s="60"/>
      <c r="H129" s="60">
        <f t="shared" si="3"/>
        <v>0</v>
      </c>
      <c r="I129" s="60"/>
      <c r="J129" s="60">
        <f t="shared" si="4"/>
        <v>0</v>
      </c>
      <c r="K129" s="60"/>
      <c r="L129" s="60">
        <f t="shared" si="5"/>
        <v>0</v>
      </c>
    </row>
    <row r="130" spans="1:12">
      <c r="A130" s="4">
        <v>10</v>
      </c>
      <c r="B130" s="5" t="s">
        <v>257</v>
      </c>
      <c r="C130" s="4">
        <v>3000</v>
      </c>
      <c r="D130" s="4">
        <v>3000</v>
      </c>
      <c r="E130" s="7" t="s">
        <v>258</v>
      </c>
      <c r="F130" s="55"/>
      <c r="G130" s="60"/>
      <c r="H130" s="60">
        <f t="shared" si="3"/>
        <v>0</v>
      </c>
      <c r="I130" s="60"/>
      <c r="J130" s="60">
        <f t="shared" si="4"/>
        <v>0</v>
      </c>
      <c r="K130" s="60"/>
      <c r="L130" s="60">
        <f t="shared" si="5"/>
        <v>0</v>
      </c>
    </row>
    <row r="131" spans="1:12">
      <c r="A131" s="77" t="s">
        <v>268</v>
      </c>
      <c r="B131" s="76"/>
      <c r="C131" s="76"/>
      <c r="D131" s="76"/>
      <c r="E131" s="78"/>
      <c r="F131" s="76"/>
      <c r="G131" s="66"/>
      <c r="H131" s="66">
        <f t="shared" si="3"/>
        <v>0</v>
      </c>
      <c r="I131" s="66"/>
      <c r="J131" s="66">
        <f t="shared" si="4"/>
        <v>0</v>
      </c>
      <c r="K131" s="66"/>
      <c r="L131" s="66">
        <f t="shared" si="5"/>
        <v>0</v>
      </c>
    </row>
    <row r="132" spans="1:12">
      <c r="A132" s="24" t="s">
        <v>127</v>
      </c>
      <c r="B132" s="24" t="s">
        <v>128</v>
      </c>
      <c r="C132" s="31" t="s">
        <v>208</v>
      </c>
      <c r="D132" s="32"/>
      <c r="E132" s="25" t="s">
        <v>131</v>
      </c>
      <c r="F132" s="58"/>
      <c r="G132" s="60"/>
      <c r="H132" s="60">
        <f t="shared" ref="H132:H135" si="6">F132-(F132*G132/100)</f>
        <v>0</v>
      </c>
      <c r="I132" s="60"/>
      <c r="J132" s="60">
        <f t="shared" ref="J132:J135" si="7">H132+(H132*I132/100)</f>
        <v>0</v>
      </c>
      <c r="K132" s="60"/>
      <c r="L132" s="60">
        <f t="shared" ref="L132:L135" si="8">J132*K132</f>
        <v>0</v>
      </c>
    </row>
    <row r="133" spans="1:12">
      <c r="A133" s="4">
        <v>1</v>
      </c>
      <c r="B133" s="5" t="s">
        <v>259</v>
      </c>
      <c r="C133" s="15" t="s">
        <v>260</v>
      </c>
      <c r="D133" s="33"/>
      <c r="E133" s="7" t="s">
        <v>261</v>
      </c>
      <c r="F133" s="59">
        <v>4250</v>
      </c>
      <c r="G133" s="60">
        <v>4</v>
      </c>
      <c r="H133" s="60">
        <f t="shared" si="6"/>
        <v>4080</v>
      </c>
      <c r="I133" s="60">
        <v>3</v>
      </c>
      <c r="J133" s="60">
        <f t="shared" si="7"/>
        <v>4202.3999999999996</v>
      </c>
      <c r="K133" s="60"/>
      <c r="L133" s="60">
        <f t="shared" si="8"/>
        <v>0</v>
      </c>
    </row>
    <row r="134" spans="1:12">
      <c r="A134" s="4">
        <v>2</v>
      </c>
      <c r="B134" s="5" t="s">
        <v>262</v>
      </c>
      <c r="C134" s="15" t="s">
        <v>263</v>
      </c>
      <c r="D134" s="33"/>
      <c r="E134" s="12" t="s">
        <v>264</v>
      </c>
      <c r="F134" s="59">
        <v>10900</v>
      </c>
      <c r="G134" s="60">
        <v>4</v>
      </c>
      <c r="H134" s="60">
        <f t="shared" si="6"/>
        <v>10464</v>
      </c>
      <c r="I134" s="60">
        <v>3</v>
      </c>
      <c r="J134" s="60">
        <f t="shared" si="7"/>
        <v>10777.92</v>
      </c>
      <c r="K134" s="60"/>
      <c r="L134" s="60">
        <f t="shared" si="8"/>
        <v>0</v>
      </c>
    </row>
    <row r="135" spans="1:12">
      <c r="A135" s="4">
        <v>3</v>
      </c>
      <c r="B135" s="5" t="s">
        <v>265</v>
      </c>
      <c r="C135" s="15" t="s">
        <v>266</v>
      </c>
      <c r="D135" s="33"/>
      <c r="E135" s="12" t="s">
        <v>267</v>
      </c>
      <c r="F135" s="59">
        <v>19000</v>
      </c>
      <c r="G135" s="60">
        <v>4</v>
      </c>
      <c r="H135" s="60">
        <f t="shared" si="6"/>
        <v>18240</v>
      </c>
      <c r="I135" s="60">
        <v>3</v>
      </c>
      <c r="J135" s="60">
        <f t="shared" si="7"/>
        <v>18787.2</v>
      </c>
      <c r="K135" s="60"/>
      <c r="L135" s="60">
        <f t="shared" si="8"/>
        <v>0</v>
      </c>
    </row>
  </sheetData>
  <mergeCells count="1">
    <mergeCell ref="F2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Hikvision Price List_Nov_ Revised,2025.xlsx</dc:title>
  <cp:lastModifiedBy>user</cp:lastModifiedBy>
  <dcterms:created xsi:type="dcterms:W3CDTF">2026-02-16T07:47:17Z</dcterms:created>
  <dcterms:modified xsi:type="dcterms:W3CDTF">2026-02-16T08:22:18Z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2025-11-24T00:00:00Z</vt:filetime>
  </property>
  <property fmtid="{D5CDD505-2E9C-101B-9397-08002B2CF9AE}" pid="3" name="LastSaved">
    <vt:filetime>2026-02-16T00:00:00Z</vt:filetime>
  </property>
  <property fmtid="{D5CDD505-2E9C-101B-9397-08002B2CF9AE}" pid="4" name="Producer">
    <vt:lpwstr>Microsoft: Print To PDF</vt:lpwstr>
  </property>
</Properties>
</file>