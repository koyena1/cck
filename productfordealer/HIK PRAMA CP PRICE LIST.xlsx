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bookViews>
    <workbookView xWindow="0" yWindow="0" windowWidth="28800" windowHeight="12435" activeTab="3"/>
  </bookViews>
  <sheets>
    <sheet name="HIKVISION" sheetId="6" r:id="rId1"/>
    <sheet name="PRAMA" sheetId="7" r:id="rId2"/>
    <sheet name="CP IP" sheetId="8" r:id="rId3"/>
    <sheet name="CP HD" sheetId="9" r:id="rId4"/>
  </sheets>
  <calcPr calcId="152511"/>
</workbook>
</file>

<file path=xl/calcChain.xml><?xml version="1.0" encoding="utf-8"?>
<calcChain xmlns="http://schemas.openxmlformats.org/spreadsheetml/2006/main">
  <c r="L22" i="9" l="1"/>
  <c r="N22" i="9" s="1"/>
  <c r="J4" i="9"/>
  <c r="L4" i="9" s="1"/>
  <c r="N4" i="9" s="1"/>
  <c r="J5" i="9"/>
  <c r="L5" i="9" s="1"/>
  <c r="N5" i="9" s="1"/>
  <c r="J6" i="9"/>
  <c r="L6" i="9" s="1"/>
  <c r="N6" i="9" s="1"/>
  <c r="J7" i="9"/>
  <c r="L7" i="9" s="1"/>
  <c r="N7" i="9" s="1"/>
  <c r="J8" i="9"/>
  <c r="L8" i="9" s="1"/>
  <c r="N8" i="9" s="1"/>
  <c r="J9" i="9"/>
  <c r="L9" i="9" s="1"/>
  <c r="N9" i="9" s="1"/>
  <c r="J10" i="9"/>
  <c r="L10" i="9" s="1"/>
  <c r="N10" i="9" s="1"/>
  <c r="J11" i="9"/>
  <c r="L11" i="9" s="1"/>
  <c r="N11" i="9" s="1"/>
  <c r="J12" i="9"/>
  <c r="L12" i="9" s="1"/>
  <c r="N12" i="9" s="1"/>
  <c r="J13" i="9"/>
  <c r="L13" i="9" s="1"/>
  <c r="N13" i="9" s="1"/>
  <c r="J14" i="9"/>
  <c r="L14" i="9" s="1"/>
  <c r="N14" i="9" s="1"/>
  <c r="J15" i="9"/>
  <c r="L15" i="9" s="1"/>
  <c r="N15" i="9" s="1"/>
  <c r="J16" i="9"/>
  <c r="L16" i="9" s="1"/>
  <c r="N16" i="9" s="1"/>
  <c r="J17" i="9"/>
  <c r="L17" i="9" s="1"/>
  <c r="N17" i="9" s="1"/>
  <c r="J18" i="9"/>
  <c r="L18" i="9" s="1"/>
  <c r="N18" i="9" s="1"/>
  <c r="J19" i="9"/>
  <c r="L19" i="9" s="1"/>
  <c r="N19" i="9" s="1"/>
  <c r="J20" i="9"/>
  <c r="L20" i="9" s="1"/>
  <c r="N20" i="9" s="1"/>
  <c r="J21" i="9"/>
  <c r="L21" i="9" s="1"/>
  <c r="N21" i="9" s="1"/>
  <c r="J23" i="9"/>
  <c r="L23" i="9" s="1"/>
  <c r="N23" i="9" s="1"/>
  <c r="J24" i="9"/>
  <c r="L24" i="9" s="1"/>
  <c r="N24" i="9" s="1"/>
  <c r="J25" i="9"/>
  <c r="L25" i="9" s="1"/>
  <c r="N25" i="9" s="1"/>
  <c r="J26" i="9"/>
  <c r="L26" i="9" s="1"/>
  <c r="N26" i="9" s="1"/>
  <c r="J27" i="9"/>
  <c r="L27" i="9" s="1"/>
  <c r="N27" i="9" s="1"/>
  <c r="J28" i="9"/>
  <c r="L28" i="9" s="1"/>
  <c r="N28" i="9" s="1"/>
  <c r="J29" i="9"/>
  <c r="L29" i="9" s="1"/>
  <c r="N29" i="9" s="1"/>
  <c r="J30" i="9"/>
  <c r="L30" i="9" s="1"/>
  <c r="N30" i="9" s="1"/>
  <c r="J31" i="9"/>
  <c r="L31" i="9" s="1"/>
  <c r="N31" i="9" s="1"/>
  <c r="J32" i="9"/>
  <c r="L32" i="9" s="1"/>
  <c r="N32" i="9" s="1"/>
  <c r="J33" i="9"/>
  <c r="L33" i="9" s="1"/>
  <c r="N33" i="9" s="1"/>
  <c r="J34" i="9"/>
  <c r="L34" i="9" s="1"/>
  <c r="N34" i="9" s="1"/>
  <c r="J35" i="9"/>
  <c r="L35" i="9" s="1"/>
  <c r="N35" i="9" s="1"/>
  <c r="J3" i="9"/>
  <c r="L3" i="9" s="1"/>
  <c r="N3" i="9" s="1"/>
  <c r="K4" i="8" l="1"/>
  <c r="M4" i="8" s="1"/>
  <c r="K8" i="8"/>
  <c r="M8" i="8" s="1"/>
  <c r="K12" i="8"/>
  <c r="M12" i="8" s="1"/>
  <c r="K16" i="8"/>
  <c r="M16" i="8" s="1"/>
  <c r="K20" i="8"/>
  <c r="M20" i="8" s="1"/>
  <c r="K24" i="8"/>
  <c r="M24" i="8" s="1"/>
  <c r="K28" i="8"/>
  <c r="M28" i="8" s="1"/>
  <c r="K32" i="8"/>
  <c r="M32" i="8" s="1"/>
  <c r="K3" i="8"/>
  <c r="M3" i="8" s="1"/>
  <c r="I4" i="8"/>
  <c r="I5" i="8"/>
  <c r="K5" i="8" s="1"/>
  <c r="M5" i="8" s="1"/>
  <c r="I6" i="8"/>
  <c r="K6" i="8" s="1"/>
  <c r="M6" i="8" s="1"/>
  <c r="I7" i="8"/>
  <c r="K7" i="8" s="1"/>
  <c r="M7" i="8" s="1"/>
  <c r="I8" i="8"/>
  <c r="I9" i="8"/>
  <c r="K9" i="8" s="1"/>
  <c r="M9" i="8" s="1"/>
  <c r="I10" i="8"/>
  <c r="K10" i="8" s="1"/>
  <c r="M10" i="8" s="1"/>
  <c r="I11" i="8"/>
  <c r="K11" i="8" s="1"/>
  <c r="M11" i="8" s="1"/>
  <c r="I12" i="8"/>
  <c r="I13" i="8"/>
  <c r="K13" i="8" s="1"/>
  <c r="M13" i="8" s="1"/>
  <c r="I14" i="8"/>
  <c r="K14" i="8" s="1"/>
  <c r="M14" i="8" s="1"/>
  <c r="I15" i="8"/>
  <c r="K15" i="8" s="1"/>
  <c r="M15" i="8" s="1"/>
  <c r="I16" i="8"/>
  <c r="I17" i="8"/>
  <c r="K17" i="8" s="1"/>
  <c r="M17" i="8" s="1"/>
  <c r="I18" i="8"/>
  <c r="K18" i="8" s="1"/>
  <c r="M18" i="8" s="1"/>
  <c r="I19" i="8"/>
  <c r="K19" i="8" s="1"/>
  <c r="M19" i="8" s="1"/>
  <c r="I20" i="8"/>
  <c r="I21" i="8"/>
  <c r="K21" i="8" s="1"/>
  <c r="M21" i="8" s="1"/>
  <c r="I22" i="8"/>
  <c r="K22" i="8" s="1"/>
  <c r="M22" i="8" s="1"/>
  <c r="I23" i="8"/>
  <c r="K23" i="8" s="1"/>
  <c r="M23" i="8" s="1"/>
  <c r="I24" i="8"/>
  <c r="I25" i="8"/>
  <c r="K25" i="8" s="1"/>
  <c r="M25" i="8" s="1"/>
  <c r="I26" i="8"/>
  <c r="K26" i="8" s="1"/>
  <c r="M26" i="8" s="1"/>
  <c r="I27" i="8"/>
  <c r="K27" i="8" s="1"/>
  <c r="M27" i="8" s="1"/>
  <c r="I28" i="8"/>
  <c r="I29" i="8"/>
  <c r="K29" i="8" s="1"/>
  <c r="M29" i="8" s="1"/>
  <c r="I30" i="8"/>
  <c r="K30" i="8" s="1"/>
  <c r="M30" i="8" s="1"/>
  <c r="I31" i="8"/>
  <c r="K31" i="8" s="1"/>
  <c r="M31" i="8" s="1"/>
  <c r="I32" i="8"/>
  <c r="I33" i="8"/>
  <c r="K33" i="8" s="1"/>
  <c r="M33" i="8" s="1"/>
  <c r="I3" i="8"/>
  <c r="H5" i="7" l="1"/>
  <c r="J5" i="7" s="1"/>
  <c r="H9" i="7"/>
  <c r="J9" i="7" s="1"/>
  <c r="H14" i="7"/>
  <c r="J14" i="7" s="1"/>
  <c r="H18" i="7"/>
  <c r="J18" i="7" s="1"/>
  <c r="H22" i="7"/>
  <c r="J22" i="7" s="1"/>
  <c r="H26" i="7"/>
  <c r="J26" i="7" s="1"/>
  <c r="H30" i="7"/>
  <c r="J30" i="7" s="1"/>
  <c r="H34" i="7"/>
  <c r="J34" i="7" s="1"/>
  <c r="H38" i="7"/>
  <c r="J38" i="7" s="1"/>
  <c r="H42" i="7"/>
  <c r="J42" i="7" s="1"/>
  <c r="H46" i="7"/>
  <c r="J46" i="7" s="1"/>
  <c r="H50" i="7"/>
  <c r="J50" i="7" s="1"/>
  <c r="H54" i="7"/>
  <c r="J54" i="7" s="1"/>
  <c r="H58" i="7"/>
  <c r="J58" i="7" s="1"/>
  <c r="H62" i="7"/>
  <c r="J62" i="7" s="1"/>
  <c r="H66" i="7"/>
  <c r="J66" i="7" s="1"/>
  <c r="F4" i="7"/>
  <c r="H4" i="7" s="1"/>
  <c r="J4" i="7" s="1"/>
  <c r="F5" i="7"/>
  <c r="F6" i="7"/>
  <c r="H6" i="7" s="1"/>
  <c r="J6" i="7" s="1"/>
  <c r="F7" i="7"/>
  <c r="H7" i="7" s="1"/>
  <c r="J7" i="7" s="1"/>
  <c r="F8" i="7"/>
  <c r="H8" i="7" s="1"/>
  <c r="J8" i="7" s="1"/>
  <c r="F9" i="7"/>
  <c r="F10" i="7"/>
  <c r="H10" i="7" s="1"/>
  <c r="J10" i="7" s="1"/>
  <c r="F11" i="7"/>
  <c r="H11" i="7" s="1"/>
  <c r="J11" i="7" s="1"/>
  <c r="F12" i="7"/>
  <c r="H12" i="7" s="1"/>
  <c r="J12" i="7" s="1"/>
  <c r="F13" i="7"/>
  <c r="H13" i="7" s="1"/>
  <c r="J13" i="7" s="1"/>
  <c r="F14" i="7"/>
  <c r="F15" i="7"/>
  <c r="H15" i="7" s="1"/>
  <c r="J15" i="7" s="1"/>
  <c r="F16" i="7"/>
  <c r="H16" i="7" s="1"/>
  <c r="J16" i="7" s="1"/>
  <c r="F17" i="7"/>
  <c r="H17" i="7" s="1"/>
  <c r="J17" i="7" s="1"/>
  <c r="F18" i="7"/>
  <c r="F19" i="7"/>
  <c r="H19" i="7" s="1"/>
  <c r="J19" i="7" s="1"/>
  <c r="F20" i="7"/>
  <c r="H20" i="7" s="1"/>
  <c r="J20" i="7" s="1"/>
  <c r="F21" i="7"/>
  <c r="H21" i="7" s="1"/>
  <c r="J21" i="7" s="1"/>
  <c r="F22" i="7"/>
  <c r="F23" i="7"/>
  <c r="H23" i="7" s="1"/>
  <c r="J23" i="7" s="1"/>
  <c r="F24" i="7"/>
  <c r="H24" i="7" s="1"/>
  <c r="J24" i="7" s="1"/>
  <c r="F25" i="7"/>
  <c r="H25" i="7" s="1"/>
  <c r="J25" i="7" s="1"/>
  <c r="F26" i="7"/>
  <c r="F27" i="7"/>
  <c r="H27" i="7" s="1"/>
  <c r="J27" i="7" s="1"/>
  <c r="F28" i="7"/>
  <c r="H28" i="7" s="1"/>
  <c r="J28" i="7" s="1"/>
  <c r="F29" i="7"/>
  <c r="H29" i="7" s="1"/>
  <c r="J29" i="7" s="1"/>
  <c r="F30" i="7"/>
  <c r="F31" i="7"/>
  <c r="H31" i="7" s="1"/>
  <c r="J31" i="7" s="1"/>
  <c r="F32" i="7"/>
  <c r="H32" i="7" s="1"/>
  <c r="J32" i="7" s="1"/>
  <c r="F33" i="7"/>
  <c r="H33" i="7" s="1"/>
  <c r="J33" i="7" s="1"/>
  <c r="F34" i="7"/>
  <c r="F35" i="7"/>
  <c r="H35" i="7" s="1"/>
  <c r="J35" i="7" s="1"/>
  <c r="F36" i="7"/>
  <c r="H36" i="7" s="1"/>
  <c r="J36" i="7" s="1"/>
  <c r="F37" i="7"/>
  <c r="H37" i="7" s="1"/>
  <c r="J37" i="7" s="1"/>
  <c r="F38" i="7"/>
  <c r="F39" i="7"/>
  <c r="H39" i="7" s="1"/>
  <c r="J39" i="7" s="1"/>
  <c r="F40" i="7"/>
  <c r="H40" i="7" s="1"/>
  <c r="J40" i="7" s="1"/>
  <c r="F41" i="7"/>
  <c r="H41" i="7" s="1"/>
  <c r="J41" i="7" s="1"/>
  <c r="F42" i="7"/>
  <c r="F43" i="7"/>
  <c r="H43" i="7" s="1"/>
  <c r="J43" i="7" s="1"/>
  <c r="F44" i="7"/>
  <c r="H44" i="7" s="1"/>
  <c r="J44" i="7" s="1"/>
  <c r="F45" i="7"/>
  <c r="H45" i="7" s="1"/>
  <c r="J45" i="7" s="1"/>
  <c r="F46" i="7"/>
  <c r="F47" i="7"/>
  <c r="H47" i="7" s="1"/>
  <c r="J47" i="7" s="1"/>
  <c r="F48" i="7"/>
  <c r="H48" i="7" s="1"/>
  <c r="J48" i="7" s="1"/>
  <c r="F49" i="7"/>
  <c r="H49" i="7" s="1"/>
  <c r="J49" i="7" s="1"/>
  <c r="F50" i="7"/>
  <c r="F51" i="7"/>
  <c r="H51" i="7" s="1"/>
  <c r="J51" i="7" s="1"/>
  <c r="F52" i="7"/>
  <c r="H52" i="7" s="1"/>
  <c r="J52" i="7" s="1"/>
  <c r="F53" i="7"/>
  <c r="H53" i="7" s="1"/>
  <c r="J53" i="7" s="1"/>
  <c r="F54" i="7"/>
  <c r="F55" i="7"/>
  <c r="H55" i="7" s="1"/>
  <c r="J55" i="7" s="1"/>
  <c r="F56" i="7"/>
  <c r="H56" i="7" s="1"/>
  <c r="J56" i="7" s="1"/>
  <c r="F57" i="7"/>
  <c r="H57" i="7" s="1"/>
  <c r="J57" i="7" s="1"/>
  <c r="F58" i="7"/>
  <c r="F59" i="7"/>
  <c r="H59" i="7" s="1"/>
  <c r="J59" i="7" s="1"/>
  <c r="F60" i="7"/>
  <c r="H60" i="7" s="1"/>
  <c r="J60" i="7" s="1"/>
  <c r="F61" i="7"/>
  <c r="H61" i="7" s="1"/>
  <c r="J61" i="7" s="1"/>
  <c r="F62" i="7"/>
  <c r="F63" i="7"/>
  <c r="H63" i="7" s="1"/>
  <c r="J63" i="7" s="1"/>
  <c r="F64" i="7"/>
  <c r="H64" i="7" s="1"/>
  <c r="J64" i="7" s="1"/>
  <c r="F65" i="7"/>
  <c r="H65" i="7" s="1"/>
  <c r="J65" i="7" s="1"/>
  <c r="F66" i="7"/>
  <c r="F3" i="7"/>
  <c r="H3" i="7" s="1"/>
  <c r="J3" i="7" s="1"/>
  <c r="L6" i="6"/>
  <c r="L14" i="6"/>
  <c r="L18" i="6"/>
  <c r="L26" i="6"/>
  <c r="L34" i="6"/>
  <c r="L50" i="6"/>
  <c r="L58" i="6"/>
  <c r="L66" i="6"/>
  <c r="L78" i="6"/>
  <c r="L86" i="6"/>
  <c r="L90" i="6"/>
  <c r="L106" i="6"/>
  <c r="J12" i="6"/>
  <c r="L12" i="6" s="1"/>
  <c r="J19" i="6"/>
  <c r="L19" i="6" s="1"/>
  <c r="J30" i="6"/>
  <c r="L30" i="6" s="1"/>
  <c r="J39" i="6"/>
  <c r="L39" i="6" s="1"/>
  <c r="J46" i="6"/>
  <c r="L46" i="6" s="1"/>
  <c r="J51" i="6"/>
  <c r="L51" i="6" s="1"/>
  <c r="J67" i="6"/>
  <c r="L67" i="6" s="1"/>
  <c r="J72" i="6"/>
  <c r="L72" i="6" s="1"/>
  <c r="J79" i="6"/>
  <c r="L79" i="6" s="1"/>
  <c r="J88" i="6"/>
  <c r="L88" i="6" s="1"/>
  <c r="J94" i="6"/>
  <c r="L94" i="6" s="1"/>
  <c r="J102" i="6"/>
  <c r="L102" i="6" s="1"/>
  <c r="J108" i="6"/>
  <c r="L108" i="6" s="1"/>
  <c r="J112" i="6"/>
  <c r="L112" i="6" s="1"/>
  <c r="J123" i="6"/>
  <c r="L123" i="6" s="1"/>
  <c r="H4" i="6"/>
  <c r="J4" i="6" s="1"/>
  <c r="L4" i="6" s="1"/>
  <c r="H5" i="6"/>
  <c r="J5" i="6" s="1"/>
  <c r="L5" i="6" s="1"/>
  <c r="H6" i="6"/>
  <c r="J6" i="6" s="1"/>
  <c r="H7" i="6"/>
  <c r="J7" i="6" s="1"/>
  <c r="L7" i="6" s="1"/>
  <c r="H8" i="6"/>
  <c r="J8" i="6" s="1"/>
  <c r="L8" i="6" s="1"/>
  <c r="H9" i="6"/>
  <c r="J9" i="6" s="1"/>
  <c r="L9" i="6" s="1"/>
  <c r="H10" i="6"/>
  <c r="J10" i="6" s="1"/>
  <c r="L10" i="6" s="1"/>
  <c r="H11" i="6"/>
  <c r="J11" i="6" s="1"/>
  <c r="L11" i="6" s="1"/>
  <c r="H12" i="6"/>
  <c r="H13" i="6"/>
  <c r="J13" i="6" s="1"/>
  <c r="L13" i="6" s="1"/>
  <c r="H14" i="6"/>
  <c r="J14" i="6" s="1"/>
  <c r="H15" i="6"/>
  <c r="J15" i="6" s="1"/>
  <c r="L15" i="6" s="1"/>
  <c r="H16" i="6"/>
  <c r="J16" i="6" s="1"/>
  <c r="L16" i="6" s="1"/>
  <c r="H17" i="6"/>
  <c r="J17" i="6" s="1"/>
  <c r="L17" i="6" s="1"/>
  <c r="H18" i="6"/>
  <c r="J18" i="6" s="1"/>
  <c r="H19" i="6"/>
  <c r="H20" i="6"/>
  <c r="J20" i="6" s="1"/>
  <c r="L20" i="6" s="1"/>
  <c r="H21" i="6"/>
  <c r="J21" i="6" s="1"/>
  <c r="L21" i="6" s="1"/>
  <c r="H22" i="6"/>
  <c r="J22" i="6" s="1"/>
  <c r="L22" i="6" s="1"/>
  <c r="H23" i="6"/>
  <c r="J23" i="6" s="1"/>
  <c r="L23" i="6" s="1"/>
  <c r="H24" i="6"/>
  <c r="J24" i="6" s="1"/>
  <c r="L24" i="6" s="1"/>
  <c r="H25" i="6"/>
  <c r="J25" i="6" s="1"/>
  <c r="L25" i="6" s="1"/>
  <c r="H26" i="6"/>
  <c r="J26" i="6" s="1"/>
  <c r="H27" i="6"/>
  <c r="J27" i="6" s="1"/>
  <c r="L27" i="6" s="1"/>
  <c r="H28" i="6"/>
  <c r="J28" i="6" s="1"/>
  <c r="L28" i="6" s="1"/>
  <c r="H29" i="6"/>
  <c r="J29" i="6" s="1"/>
  <c r="L29" i="6" s="1"/>
  <c r="H30" i="6"/>
  <c r="H31" i="6"/>
  <c r="J31" i="6" s="1"/>
  <c r="L31" i="6" s="1"/>
  <c r="H32" i="6"/>
  <c r="J32" i="6" s="1"/>
  <c r="L32" i="6" s="1"/>
  <c r="H33" i="6"/>
  <c r="J33" i="6" s="1"/>
  <c r="L33" i="6" s="1"/>
  <c r="H34" i="6"/>
  <c r="J34" i="6" s="1"/>
  <c r="H35" i="6"/>
  <c r="J35" i="6" s="1"/>
  <c r="L35" i="6" s="1"/>
  <c r="H36" i="6"/>
  <c r="J36" i="6" s="1"/>
  <c r="L36" i="6" s="1"/>
  <c r="H37" i="6"/>
  <c r="J37" i="6" s="1"/>
  <c r="L37" i="6" s="1"/>
  <c r="H38" i="6"/>
  <c r="J38" i="6" s="1"/>
  <c r="L38" i="6" s="1"/>
  <c r="H39" i="6"/>
  <c r="H40" i="6"/>
  <c r="J40" i="6" s="1"/>
  <c r="L40" i="6" s="1"/>
  <c r="H41" i="6"/>
  <c r="J41" i="6" s="1"/>
  <c r="L41" i="6" s="1"/>
  <c r="H42" i="6"/>
  <c r="J42" i="6" s="1"/>
  <c r="L42" i="6" s="1"/>
  <c r="H43" i="6"/>
  <c r="J43" i="6" s="1"/>
  <c r="L43" i="6" s="1"/>
  <c r="H44" i="6"/>
  <c r="J44" i="6" s="1"/>
  <c r="L44" i="6" s="1"/>
  <c r="H45" i="6"/>
  <c r="J45" i="6" s="1"/>
  <c r="L45" i="6" s="1"/>
  <c r="H46" i="6"/>
  <c r="H47" i="6"/>
  <c r="J47" i="6" s="1"/>
  <c r="L47" i="6" s="1"/>
  <c r="H48" i="6"/>
  <c r="J48" i="6" s="1"/>
  <c r="L48" i="6" s="1"/>
  <c r="H49" i="6"/>
  <c r="J49" i="6" s="1"/>
  <c r="L49" i="6" s="1"/>
  <c r="H50" i="6"/>
  <c r="J50" i="6" s="1"/>
  <c r="H51" i="6"/>
  <c r="H52" i="6"/>
  <c r="J52" i="6" s="1"/>
  <c r="L52" i="6" s="1"/>
  <c r="H53" i="6"/>
  <c r="J53" i="6" s="1"/>
  <c r="L53" i="6" s="1"/>
  <c r="H54" i="6"/>
  <c r="J54" i="6" s="1"/>
  <c r="L54" i="6" s="1"/>
  <c r="H55" i="6"/>
  <c r="J55" i="6" s="1"/>
  <c r="L55" i="6" s="1"/>
  <c r="H56" i="6"/>
  <c r="J56" i="6" s="1"/>
  <c r="L56" i="6" s="1"/>
  <c r="H57" i="6"/>
  <c r="J57" i="6" s="1"/>
  <c r="L57" i="6" s="1"/>
  <c r="H58" i="6"/>
  <c r="J58" i="6" s="1"/>
  <c r="H59" i="6"/>
  <c r="J59" i="6" s="1"/>
  <c r="L59" i="6" s="1"/>
  <c r="H60" i="6"/>
  <c r="J60" i="6" s="1"/>
  <c r="L60" i="6" s="1"/>
  <c r="H61" i="6"/>
  <c r="J61" i="6" s="1"/>
  <c r="L61" i="6" s="1"/>
  <c r="H62" i="6"/>
  <c r="J62" i="6" s="1"/>
  <c r="L62" i="6" s="1"/>
  <c r="H63" i="6"/>
  <c r="J63" i="6" s="1"/>
  <c r="L63" i="6" s="1"/>
  <c r="H64" i="6"/>
  <c r="J64" i="6" s="1"/>
  <c r="L64" i="6" s="1"/>
  <c r="H65" i="6"/>
  <c r="J65" i="6" s="1"/>
  <c r="L65" i="6" s="1"/>
  <c r="H66" i="6"/>
  <c r="J66" i="6" s="1"/>
  <c r="H67" i="6"/>
  <c r="H68" i="6"/>
  <c r="J68" i="6" s="1"/>
  <c r="L68" i="6" s="1"/>
  <c r="H69" i="6"/>
  <c r="J69" i="6" s="1"/>
  <c r="L69" i="6" s="1"/>
  <c r="H70" i="6"/>
  <c r="J70" i="6" s="1"/>
  <c r="L70" i="6" s="1"/>
  <c r="H71" i="6"/>
  <c r="J71" i="6" s="1"/>
  <c r="L71" i="6" s="1"/>
  <c r="H72" i="6"/>
  <c r="H73" i="6"/>
  <c r="J73" i="6" s="1"/>
  <c r="L73" i="6" s="1"/>
  <c r="H74" i="6"/>
  <c r="J74" i="6" s="1"/>
  <c r="L74" i="6" s="1"/>
  <c r="H75" i="6"/>
  <c r="J75" i="6" s="1"/>
  <c r="L75" i="6" s="1"/>
  <c r="H76" i="6"/>
  <c r="J76" i="6" s="1"/>
  <c r="L76" i="6" s="1"/>
  <c r="H77" i="6"/>
  <c r="J77" i="6" s="1"/>
  <c r="L77" i="6" s="1"/>
  <c r="H78" i="6"/>
  <c r="J78" i="6" s="1"/>
  <c r="H79" i="6"/>
  <c r="H80" i="6"/>
  <c r="J80" i="6" s="1"/>
  <c r="L80" i="6" s="1"/>
  <c r="H81" i="6"/>
  <c r="J81" i="6" s="1"/>
  <c r="L81" i="6" s="1"/>
  <c r="H82" i="6"/>
  <c r="J82" i="6" s="1"/>
  <c r="L82" i="6" s="1"/>
  <c r="H83" i="6"/>
  <c r="J83" i="6" s="1"/>
  <c r="L83" i="6" s="1"/>
  <c r="H84" i="6"/>
  <c r="J84" i="6" s="1"/>
  <c r="L84" i="6" s="1"/>
  <c r="H85" i="6"/>
  <c r="J85" i="6" s="1"/>
  <c r="L85" i="6" s="1"/>
  <c r="H86" i="6"/>
  <c r="J86" i="6" s="1"/>
  <c r="H87" i="6"/>
  <c r="J87" i="6" s="1"/>
  <c r="L87" i="6" s="1"/>
  <c r="H88" i="6"/>
  <c r="H89" i="6"/>
  <c r="J89" i="6" s="1"/>
  <c r="L89" i="6" s="1"/>
  <c r="H90" i="6"/>
  <c r="J90" i="6" s="1"/>
  <c r="H91" i="6"/>
  <c r="J91" i="6" s="1"/>
  <c r="L91" i="6" s="1"/>
  <c r="H92" i="6"/>
  <c r="J92" i="6" s="1"/>
  <c r="L92" i="6" s="1"/>
  <c r="H93" i="6"/>
  <c r="J93" i="6" s="1"/>
  <c r="L93" i="6" s="1"/>
  <c r="H94" i="6"/>
  <c r="H95" i="6"/>
  <c r="J95" i="6" s="1"/>
  <c r="L95" i="6" s="1"/>
  <c r="H96" i="6"/>
  <c r="J96" i="6" s="1"/>
  <c r="L96" i="6" s="1"/>
  <c r="H97" i="6"/>
  <c r="J97" i="6" s="1"/>
  <c r="L97" i="6" s="1"/>
  <c r="H98" i="6"/>
  <c r="J98" i="6" s="1"/>
  <c r="L98" i="6" s="1"/>
  <c r="H99" i="6"/>
  <c r="J99" i="6" s="1"/>
  <c r="L99" i="6" s="1"/>
  <c r="H100" i="6"/>
  <c r="J100" i="6" s="1"/>
  <c r="L100" i="6" s="1"/>
  <c r="H101" i="6"/>
  <c r="J101" i="6" s="1"/>
  <c r="L101" i="6" s="1"/>
  <c r="H102" i="6"/>
  <c r="H103" i="6"/>
  <c r="J103" i="6" s="1"/>
  <c r="L103" i="6" s="1"/>
  <c r="H104" i="6"/>
  <c r="J104" i="6" s="1"/>
  <c r="L104" i="6" s="1"/>
  <c r="H105" i="6"/>
  <c r="J105" i="6" s="1"/>
  <c r="L105" i="6" s="1"/>
  <c r="H106" i="6"/>
  <c r="J106" i="6" s="1"/>
  <c r="H107" i="6"/>
  <c r="J107" i="6" s="1"/>
  <c r="L107" i="6" s="1"/>
  <c r="H108" i="6"/>
  <c r="H109" i="6"/>
  <c r="J109" i="6" s="1"/>
  <c r="L109" i="6" s="1"/>
  <c r="H110" i="6"/>
  <c r="J110" i="6" s="1"/>
  <c r="L110" i="6" s="1"/>
  <c r="H111" i="6"/>
  <c r="J111" i="6" s="1"/>
  <c r="L111" i="6" s="1"/>
  <c r="H112" i="6"/>
  <c r="H113" i="6"/>
  <c r="J113" i="6" s="1"/>
  <c r="L113" i="6" s="1"/>
  <c r="H114" i="6"/>
  <c r="J114" i="6" s="1"/>
  <c r="L114" i="6" s="1"/>
  <c r="H115" i="6"/>
  <c r="J115" i="6" s="1"/>
  <c r="L115" i="6" s="1"/>
  <c r="H116" i="6"/>
  <c r="J116" i="6" s="1"/>
  <c r="L116" i="6" s="1"/>
  <c r="H117" i="6"/>
  <c r="J117" i="6" s="1"/>
  <c r="L117" i="6" s="1"/>
  <c r="H118" i="6"/>
  <c r="J118" i="6" s="1"/>
  <c r="L118" i="6" s="1"/>
  <c r="H119" i="6"/>
  <c r="J119" i="6" s="1"/>
  <c r="L119" i="6" s="1"/>
  <c r="H120" i="6"/>
  <c r="J120" i="6" s="1"/>
  <c r="L120" i="6" s="1"/>
  <c r="H121" i="6"/>
  <c r="J121" i="6" s="1"/>
  <c r="L121" i="6" s="1"/>
  <c r="H122" i="6"/>
  <c r="J122" i="6" s="1"/>
  <c r="L122" i="6" s="1"/>
  <c r="H123" i="6"/>
  <c r="H124" i="6"/>
  <c r="J124" i="6" s="1"/>
  <c r="L124" i="6" s="1"/>
  <c r="H125" i="6"/>
  <c r="J125" i="6" s="1"/>
  <c r="L125" i="6" s="1"/>
  <c r="H126" i="6"/>
  <c r="J126" i="6" s="1"/>
  <c r="L126" i="6" s="1"/>
  <c r="H127" i="6"/>
  <c r="J127" i="6" s="1"/>
  <c r="L127" i="6" s="1"/>
  <c r="H128" i="6"/>
  <c r="J128" i="6" s="1"/>
  <c r="L128" i="6" s="1"/>
  <c r="H129" i="6"/>
  <c r="J129" i="6" s="1"/>
  <c r="L129" i="6" s="1"/>
  <c r="H130" i="6"/>
  <c r="J130" i="6" s="1"/>
  <c r="L130" i="6" s="1"/>
  <c r="H131" i="6"/>
  <c r="J131" i="6" s="1"/>
  <c r="L131" i="6" s="1"/>
  <c r="H132" i="6"/>
  <c r="J132" i="6" s="1"/>
  <c r="L132" i="6" s="1"/>
  <c r="H133" i="6"/>
  <c r="J133" i="6" s="1"/>
  <c r="L133" i="6" s="1"/>
  <c r="H134" i="6"/>
  <c r="J134" i="6" s="1"/>
  <c r="L134" i="6" s="1"/>
  <c r="H135" i="6"/>
  <c r="J135" i="6" s="1"/>
  <c r="L135" i="6" s="1"/>
  <c r="H3" i="6"/>
  <c r="J3" i="6" s="1"/>
  <c r="L3" i="6" s="1"/>
</calcChain>
</file>

<file path=xl/sharedStrings.xml><?xml version="1.0" encoding="utf-8"?>
<sst xmlns="http://schemas.openxmlformats.org/spreadsheetml/2006/main" count="1028" uniqueCount="568">
  <si>
    <t>Hikvision Monitors</t>
  </si>
  <si>
    <t>DIS. %</t>
  </si>
  <si>
    <t>ADD %</t>
  </si>
  <si>
    <t>MARCHANT PUR PRICE</t>
  </si>
  <si>
    <t>MARCHANT SALE TO PROTECHTUR</t>
  </si>
  <si>
    <t>EXCLUDING GST</t>
  </si>
  <si>
    <t>MOP</t>
  </si>
  <si>
    <t>QUANTITY</t>
  </si>
  <si>
    <t>TOTAL AMOUNT</t>
  </si>
  <si>
    <r>
      <rPr>
        <b/>
        <sz val="11"/>
        <rFont val="Calibri"/>
        <family val="1"/>
      </rPr>
      <t>Model Number</t>
    </r>
  </si>
  <si>
    <r>
      <rPr>
        <b/>
        <sz val="11"/>
        <rFont val="Calibri"/>
        <family val="1"/>
      </rPr>
      <t>Key Features</t>
    </r>
  </si>
  <si>
    <r>
      <rPr>
        <b/>
        <sz val="11"/>
        <rFont val="Calibri"/>
        <family val="1"/>
      </rPr>
      <t>Special Features</t>
    </r>
  </si>
  <si>
    <r>
      <rPr>
        <b/>
        <sz val="11"/>
        <rFont val="Calibri"/>
        <family val="1"/>
      </rPr>
      <t>Prices/Novem</t>
    </r>
  </si>
  <si>
    <r>
      <rPr>
        <sz val="11"/>
        <rFont val="Calibri"/>
        <family val="1"/>
      </rPr>
      <t>PT-HTD110E-NTP             (New)</t>
    </r>
  </si>
  <si>
    <r>
      <rPr>
        <sz val="11"/>
        <rFont val="Calibri"/>
        <family val="1"/>
      </rPr>
      <t>2 MP Bullet IR 20M</t>
    </r>
  </si>
  <si>
    <r>
      <rPr>
        <sz val="11"/>
        <rFont val="Calibri"/>
        <family val="1"/>
      </rPr>
      <t>Eco 2MP</t>
    </r>
  </si>
  <si>
    <r>
      <rPr>
        <sz val="11"/>
        <rFont val="Calibri"/>
        <family val="1"/>
      </rPr>
      <t>PT-HTD700E-NTP             (New)</t>
    </r>
  </si>
  <si>
    <r>
      <rPr>
        <sz val="11"/>
        <rFont val="Calibri"/>
        <family val="1"/>
      </rPr>
      <t>2 MP Dome IR 20M</t>
    </r>
  </si>
  <si>
    <r>
      <rPr>
        <sz val="11"/>
        <rFont val="Calibri"/>
        <family val="1"/>
      </rPr>
      <t>PT-HTD112E-ITPF</t>
    </r>
  </si>
  <si>
    <r>
      <rPr>
        <sz val="11"/>
        <rFont val="Calibri"/>
        <family val="1"/>
      </rPr>
      <t>2 MP Bullet,  IR 20M</t>
    </r>
  </si>
  <si>
    <r>
      <rPr>
        <sz val="11"/>
        <rFont val="Calibri"/>
        <family val="1"/>
      </rPr>
      <t>Switch</t>
    </r>
  </si>
  <si>
    <r>
      <rPr>
        <sz val="11"/>
        <rFont val="Calibri"/>
        <family val="1"/>
      </rPr>
      <t>PT-HTD702E-ITPF</t>
    </r>
  </si>
  <si>
    <r>
      <rPr>
        <sz val="11"/>
        <rFont val="Calibri"/>
        <family val="1"/>
      </rPr>
      <t>2 MP Dome, IR 20M</t>
    </r>
  </si>
  <si>
    <r>
      <rPr>
        <sz val="11"/>
        <rFont val="Calibri"/>
        <family val="1"/>
      </rPr>
      <t>PT-HTD112E-NTPF(M)    New</t>
    </r>
  </si>
  <si>
    <r>
      <rPr>
        <sz val="11"/>
        <rFont val="Calibri"/>
        <family val="1"/>
      </rPr>
      <t>2 MP Bullet, IR 20M Built in Mic</t>
    </r>
  </si>
  <si>
    <r>
      <rPr>
        <sz val="11"/>
        <rFont val="Calibri"/>
        <family val="1"/>
      </rPr>
      <t>Switch, Built in Mic</t>
    </r>
  </si>
  <si>
    <r>
      <rPr>
        <sz val="11"/>
        <rFont val="Calibri"/>
        <family val="1"/>
      </rPr>
      <t>PT-HTD702E-NTPF(M)    New</t>
    </r>
  </si>
  <si>
    <r>
      <rPr>
        <sz val="11"/>
        <rFont val="Calibri"/>
        <family val="1"/>
      </rPr>
      <t>2 MP Dome, IR 20M Built in Mic</t>
    </r>
  </si>
  <si>
    <r>
      <rPr>
        <sz val="11"/>
        <rFont val="Calibri"/>
        <family val="1"/>
      </rPr>
      <t>PT-HTD11F0E-WPF(M)   New</t>
    </r>
  </si>
  <si>
    <r>
      <rPr>
        <sz val="11"/>
        <rFont val="Calibri"/>
        <family val="1"/>
      </rPr>
      <t>2 MP Bullet Hybrit, 20M, Built in Mic</t>
    </r>
  </si>
  <si>
    <r>
      <rPr>
        <sz val="11"/>
        <rFont val="Calibri"/>
        <family val="1"/>
      </rPr>
      <t>Hybrit Colour, Built in Mic</t>
    </r>
  </si>
  <si>
    <r>
      <rPr>
        <sz val="11"/>
        <rFont val="Calibri"/>
        <family val="1"/>
      </rPr>
      <t>PT-HTD70F0E-WPF(M)   New</t>
    </r>
  </si>
  <si>
    <r>
      <rPr>
        <sz val="11"/>
        <rFont val="Calibri"/>
        <family val="1"/>
      </rPr>
      <t>2 MP Dome Hybrit, 20M, Built in Mic</t>
    </r>
  </si>
  <si>
    <r>
      <rPr>
        <sz val="11"/>
        <rFont val="Calibri"/>
        <family val="1"/>
      </rPr>
      <t>PT-HTH11F0E-WPF(M)   New</t>
    </r>
  </si>
  <si>
    <r>
      <rPr>
        <sz val="11"/>
        <rFont val="Calibri"/>
        <family val="1"/>
      </rPr>
      <t>5 MP Bullet Hybrit, 20M, Built in Mic</t>
    </r>
  </si>
  <si>
    <r>
      <rPr>
        <sz val="11"/>
        <rFont val="Calibri"/>
        <family val="1"/>
      </rPr>
      <t>PT-HTH70F0E-WPF(M)   New</t>
    </r>
  </si>
  <si>
    <r>
      <rPr>
        <sz val="11"/>
        <rFont val="Calibri"/>
        <family val="1"/>
      </rPr>
      <t>5 MP Dome Hybrit, 20M, Built in Mic</t>
    </r>
  </si>
  <si>
    <r>
      <rPr>
        <sz val="11"/>
        <rFont val="Calibri"/>
        <family val="1"/>
      </rPr>
      <t>PT-HTH11F0E-TF(M)       New</t>
    </r>
  </si>
  <si>
    <r>
      <rPr>
        <sz val="11"/>
        <rFont val="Calibri"/>
        <family val="1"/>
      </rPr>
      <t>5 MP Bullet, Hybrit, 20M, Built in Mic</t>
    </r>
  </si>
  <si>
    <r>
      <rPr>
        <sz val="11"/>
        <rFont val="Calibri"/>
        <family val="1"/>
      </rPr>
      <t>Hybrit Colour, Built in Mic(Metal)</t>
    </r>
  </si>
  <si>
    <r>
      <rPr>
        <sz val="11"/>
        <rFont val="Calibri"/>
        <family val="1"/>
      </rPr>
      <t>PT-HTH70F0E-TF(M)       New</t>
    </r>
  </si>
  <si>
    <r>
      <rPr>
        <sz val="11"/>
        <rFont val="Calibri"/>
        <family val="1"/>
      </rPr>
      <t>5 MP Dome, Hybrit, 20M, Built in Mic</t>
    </r>
  </si>
  <si>
    <r>
      <rPr>
        <b/>
        <sz val="14"/>
        <color rgb="FFE6E6E6"/>
        <rFont val="Calibri"/>
        <family val="1"/>
      </rPr>
      <t>PRAMA DVR</t>
    </r>
  </si>
  <si>
    <r>
      <rPr>
        <sz val="11"/>
        <rFont val="Calibri"/>
        <family val="1"/>
      </rPr>
      <t>PT-DR1A04G-K1</t>
    </r>
  </si>
  <si>
    <r>
      <rPr>
        <sz val="11"/>
        <rFont val="Calibri"/>
        <family val="1"/>
      </rPr>
      <t>Upto 2MP Lite, 4Ch,1HDD,H.265, IP 1</t>
    </r>
  </si>
  <si>
    <r>
      <rPr>
        <sz val="11"/>
        <rFont val="Calibri"/>
        <family val="1"/>
      </rPr>
      <t>PT-DR1A08G-K1</t>
    </r>
  </si>
  <si>
    <r>
      <rPr>
        <sz val="11"/>
        <rFont val="Calibri"/>
        <family val="1"/>
      </rPr>
      <t>Upto 2MP Lite, 8Ch,1HDD,H.265, IP 2</t>
    </r>
  </si>
  <si>
    <r>
      <rPr>
        <sz val="11"/>
        <rFont val="Calibri"/>
        <family val="1"/>
      </rPr>
      <t>PT-DR1A16G-K1</t>
    </r>
  </si>
  <si>
    <r>
      <rPr>
        <sz val="11"/>
        <rFont val="Calibri"/>
        <family val="1"/>
      </rPr>
      <t>Upto 2MP Lite, 16Ch,1HDD,H.265, IP 2, 4k</t>
    </r>
  </si>
  <si>
    <r>
      <rPr>
        <sz val="11"/>
        <rFont val="Calibri"/>
        <family val="1"/>
      </rPr>
      <t>PT-DR1A04Q-K1</t>
    </r>
  </si>
  <si>
    <r>
      <rPr>
        <sz val="11"/>
        <rFont val="Calibri"/>
        <family val="1"/>
      </rPr>
      <t>Upto 4MP Lite, 4Ch,1HDD,H.265,IP 1</t>
    </r>
  </si>
  <si>
    <r>
      <rPr>
        <sz val="11"/>
        <rFont val="Calibri"/>
        <family val="1"/>
      </rPr>
      <t>5 MP Live View, 2Ch IP video Input</t>
    </r>
  </si>
  <si>
    <r>
      <rPr>
        <sz val="11"/>
        <rFont val="Calibri"/>
        <family val="1"/>
      </rPr>
      <t>PT-DR1A08Q-K1</t>
    </r>
  </si>
  <si>
    <r>
      <rPr>
        <sz val="11"/>
        <rFont val="Calibri"/>
        <family val="1"/>
      </rPr>
      <t>Upto 4MP Lite, 8Ch,1HDD,H.265, IP 2</t>
    </r>
  </si>
  <si>
    <r>
      <rPr>
        <sz val="11"/>
        <rFont val="Calibri"/>
        <family val="1"/>
      </rPr>
      <t>5 MP Live View, 4Ch IP video Input</t>
    </r>
  </si>
  <si>
    <r>
      <rPr>
        <sz val="11"/>
        <rFont val="Calibri"/>
        <family val="1"/>
      </rPr>
      <t>PT-DRAS1A16Q-K1</t>
    </r>
  </si>
  <si>
    <r>
      <rPr>
        <sz val="11"/>
        <rFont val="Calibri"/>
        <family val="1"/>
      </rPr>
      <t>Upto 4MP Lite, 16Ch,1HDD,H.265 pro+,</t>
    </r>
  </si>
  <si>
    <r>
      <rPr>
        <sz val="11"/>
        <rFont val="Calibri"/>
        <family val="1"/>
      </rPr>
      <t>5 MP Live View,Built in AI, 4K UHD</t>
    </r>
  </si>
  <si>
    <r>
      <rPr>
        <sz val="11"/>
        <rFont val="Calibri"/>
        <family val="1"/>
      </rPr>
      <t>PT-DR1A04U-K1</t>
    </r>
  </si>
  <si>
    <r>
      <rPr>
        <sz val="11"/>
        <rFont val="Calibri"/>
        <family val="1"/>
      </rPr>
      <t>Upto 8MP, 4Ch,1HDD,H.265 Pro +</t>
    </r>
  </si>
  <si>
    <r>
      <rPr>
        <sz val="11"/>
        <rFont val="Calibri"/>
        <family val="1"/>
      </rPr>
      <t>4Ch IP Video Input</t>
    </r>
  </si>
  <si>
    <r>
      <rPr>
        <sz val="11"/>
        <rFont val="Calibri"/>
        <family val="1"/>
      </rPr>
      <t>PT-DRAS2A16U-K2</t>
    </r>
  </si>
  <si>
    <r>
      <rPr>
        <sz val="11"/>
        <rFont val="Calibri"/>
        <family val="1"/>
      </rPr>
      <t>Upto 8MP, 16Ch,2HDD,H.265 pro+</t>
    </r>
  </si>
  <si>
    <r>
      <rPr>
        <sz val="11"/>
        <rFont val="Calibri"/>
        <family val="1"/>
      </rPr>
      <t>Built in AI,4K UHD Output, CVBS Ou</t>
    </r>
  </si>
  <si>
    <r>
      <rPr>
        <b/>
        <sz val="11"/>
        <color rgb="FFE6E6E6"/>
        <rFont val="Calibri"/>
        <family val="1"/>
      </rPr>
      <t>PRAMA IP Camera STQC</t>
    </r>
  </si>
  <si>
    <r>
      <rPr>
        <b/>
        <sz val="11"/>
        <color rgb="FFE6E6E6"/>
        <rFont val="Calibri"/>
        <family val="1"/>
      </rPr>
      <t>PRAMA IP Camera    MOP</t>
    </r>
  </si>
  <si>
    <r>
      <rPr>
        <sz val="11"/>
        <rFont val="Calibri"/>
        <family val="1"/>
      </rPr>
      <t>PT-NC120D3-N(D2)</t>
    </r>
  </si>
  <si>
    <r>
      <rPr>
        <sz val="11"/>
        <rFont val="Calibri"/>
        <family val="1"/>
      </rPr>
      <t>2 MP Bullet, IR, H.265+,IR-30M</t>
    </r>
  </si>
  <si>
    <r>
      <rPr>
        <sz val="11"/>
        <rFont val="Calibri"/>
        <family val="1"/>
      </rPr>
      <t>3D DNR, BLC,DWDR,IP67</t>
    </r>
  </si>
  <si>
    <r>
      <rPr>
        <sz val="11"/>
        <rFont val="Calibri"/>
        <family val="1"/>
      </rPr>
      <t>PT-NC123D3-N(D2)</t>
    </r>
  </si>
  <si>
    <r>
      <rPr>
        <sz val="11"/>
        <rFont val="Calibri"/>
        <family val="1"/>
      </rPr>
      <t>2 MP Dome, IR, H.265+,IR-30M</t>
    </r>
  </si>
  <si>
    <r>
      <rPr>
        <sz val="11"/>
        <rFont val="Calibri"/>
        <family val="1"/>
      </rPr>
      <t>PT-NC140D3-N(D2)</t>
    </r>
  </si>
  <si>
    <r>
      <rPr>
        <sz val="11"/>
        <rFont val="Calibri"/>
        <family val="1"/>
      </rPr>
      <t>4 MP Bullet, IR, H.265+,IR-30M</t>
    </r>
  </si>
  <si>
    <r>
      <rPr>
        <sz val="11"/>
        <rFont val="Calibri"/>
        <family val="1"/>
      </rPr>
      <t>WDR, 3D DNR, BLC,WDR,IP67</t>
    </r>
  </si>
  <si>
    <r>
      <rPr>
        <sz val="11"/>
        <rFont val="Calibri"/>
        <family val="1"/>
      </rPr>
      <t>PT-NC143D3-N(D2)</t>
    </r>
  </si>
  <si>
    <r>
      <rPr>
        <sz val="11"/>
        <rFont val="Calibri"/>
        <family val="1"/>
      </rPr>
      <t>4 MP Dome, IR, H.265+,IR-30M</t>
    </r>
  </si>
  <si>
    <r>
      <rPr>
        <sz val="11"/>
        <rFont val="Calibri"/>
        <family val="1"/>
      </rPr>
      <t>PT-NC120D3-WNM(D2)</t>
    </r>
  </si>
  <si>
    <r>
      <rPr>
        <sz val="11"/>
        <rFont val="Calibri"/>
        <family val="1"/>
      </rPr>
      <t>2 MP  Bullet, H.265+,Light+IR-30</t>
    </r>
  </si>
  <si>
    <r>
      <rPr>
        <sz val="11"/>
        <rFont val="Calibri"/>
        <family val="1"/>
      </rPr>
      <t>Bulit in Mic,DWDR, Hybrit Color</t>
    </r>
  </si>
  <si>
    <r>
      <rPr>
        <sz val="11"/>
        <rFont val="Calibri"/>
        <family val="1"/>
      </rPr>
      <t>PT-NC123D3-WNM(D2)</t>
    </r>
  </si>
  <si>
    <r>
      <rPr>
        <sz val="11"/>
        <rFont val="Calibri"/>
        <family val="1"/>
      </rPr>
      <t>2 MP Turret, H.265+,Light+IR-30</t>
    </r>
  </si>
  <si>
    <r>
      <rPr>
        <sz val="11"/>
        <rFont val="Calibri"/>
        <family val="1"/>
      </rPr>
      <t>PT-NC140D3-WNM(D2)</t>
    </r>
  </si>
  <si>
    <r>
      <rPr>
        <sz val="11"/>
        <rFont val="Calibri"/>
        <family val="1"/>
      </rPr>
      <t>4 MP Bullet,  H.265+,Light+IR-30</t>
    </r>
  </si>
  <si>
    <r>
      <rPr>
        <sz val="11"/>
        <rFont val="Calibri"/>
        <family val="1"/>
      </rPr>
      <t>Bulit In Mic,WDR,Hybrit Colour</t>
    </r>
  </si>
  <si>
    <r>
      <rPr>
        <sz val="11"/>
        <rFont val="Calibri"/>
        <family val="1"/>
      </rPr>
      <t>PT-NC143D3-WNM(D2)</t>
    </r>
  </si>
  <si>
    <r>
      <rPr>
        <sz val="11"/>
        <rFont val="Calibri"/>
        <family val="1"/>
      </rPr>
      <t>4 MP Turret, H.265+,Light+IR-30</t>
    </r>
  </si>
  <si>
    <r>
      <rPr>
        <sz val="11"/>
        <rFont val="Calibri"/>
        <family val="1"/>
      </rPr>
      <t>PT-NC160D3-WNM(D2)</t>
    </r>
  </si>
  <si>
    <r>
      <rPr>
        <sz val="11"/>
        <rFont val="Calibri"/>
        <family val="1"/>
      </rPr>
      <t>6 MP Bullet,  H.265+,Light+IR-30</t>
    </r>
  </si>
  <si>
    <r>
      <rPr>
        <sz val="11"/>
        <rFont val="Calibri"/>
        <family val="1"/>
      </rPr>
      <t>Bulit in Mic,WDR, Hybrit Color</t>
    </r>
  </si>
  <si>
    <r>
      <rPr>
        <sz val="11"/>
        <rFont val="Calibri"/>
        <family val="1"/>
      </rPr>
      <t>PT-NC163D3-WNM(D2)</t>
    </r>
  </si>
  <si>
    <r>
      <rPr>
        <sz val="11"/>
        <rFont val="Calibri"/>
        <family val="1"/>
      </rPr>
      <t>6 MP Dome, H.265+,Light+IR-30</t>
    </r>
  </si>
  <si>
    <r>
      <rPr>
        <sz val="11"/>
        <rFont val="Calibri"/>
        <family val="1"/>
      </rPr>
      <t>PT-NC120D7-WNMS/AW(D2)</t>
    </r>
  </si>
  <si>
    <r>
      <rPr>
        <sz val="11"/>
        <rFont val="Calibri"/>
        <family val="1"/>
      </rPr>
      <t>2 MP Bullet, H.265+,Light+IR-30</t>
    </r>
  </si>
  <si>
    <r>
      <rPr>
        <sz val="11"/>
        <rFont val="Calibri"/>
        <family val="1"/>
      </rPr>
      <t>DWDR, Two Way Audio,SD card</t>
    </r>
  </si>
  <si>
    <r>
      <rPr>
        <sz val="11"/>
        <rFont val="Calibri"/>
        <family val="1"/>
      </rPr>
      <t>PT-NC123D7-WNMS/AW(D2)</t>
    </r>
  </si>
  <si>
    <r>
      <rPr>
        <sz val="11"/>
        <rFont val="Calibri"/>
        <family val="1"/>
      </rPr>
      <t>PT-NC140D7-WNMS/AW(D2)</t>
    </r>
  </si>
  <si>
    <r>
      <rPr>
        <sz val="11"/>
        <rFont val="Calibri"/>
        <family val="1"/>
      </rPr>
      <t>4 MP Bullet, H.265+,Light+IR-30</t>
    </r>
  </si>
  <si>
    <r>
      <rPr>
        <sz val="11"/>
        <rFont val="Calibri"/>
        <family val="1"/>
      </rPr>
      <t>WDR, Two Way Audio,SD card</t>
    </r>
  </si>
  <si>
    <r>
      <rPr>
        <sz val="11"/>
        <rFont val="Calibri"/>
        <family val="1"/>
      </rPr>
      <t>PT-NC143D7-WNMS/AW(D2)</t>
    </r>
  </si>
  <si>
    <r>
      <rPr>
        <sz val="11"/>
        <rFont val="Calibri"/>
        <family val="1"/>
      </rPr>
      <t>4 MP Dome, H.265+,Light+IR-30</t>
    </r>
  </si>
  <si>
    <r>
      <rPr>
        <sz val="11"/>
        <rFont val="Calibri"/>
        <family val="1"/>
      </rPr>
      <t>PT-NC160D3-WNMS/AW(D2)</t>
    </r>
  </si>
  <si>
    <r>
      <rPr>
        <sz val="11"/>
        <rFont val="Calibri"/>
        <family val="1"/>
      </rPr>
      <t>6 MP Bullet, H.265+,Light+IR-30</t>
    </r>
  </si>
  <si>
    <r>
      <rPr>
        <sz val="11"/>
        <rFont val="Calibri"/>
        <family val="1"/>
      </rPr>
      <t>PT-NC163D3-WNMS/AW(D2)</t>
    </r>
  </si>
  <si>
    <r>
      <rPr>
        <sz val="11"/>
        <rFont val="Calibri"/>
        <family val="1"/>
      </rPr>
      <t>PT-NC126D3-WNRAM(D2)</t>
    </r>
  </si>
  <si>
    <r>
      <rPr>
        <sz val="11"/>
        <rFont val="Calibri"/>
        <family val="1"/>
      </rPr>
      <t>2 MP VF Bullet,MVL- 2.8 to 12mm, Light</t>
    </r>
  </si>
  <si>
    <r>
      <rPr>
        <sz val="11"/>
        <rFont val="Calibri"/>
        <family val="1"/>
      </rPr>
      <t>Mic,WDR, Veri-focal, Dual Colour</t>
    </r>
  </si>
  <si>
    <r>
      <rPr>
        <sz val="11"/>
        <rFont val="Calibri"/>
        <family val="1"/>
      </rPr>
      <t>PT-NC127D3-WNRAM(D2)</t>
    </r>
  </si>
  <si>
    <r>
      <rPr>
        <sz val="11"/>
        <rFont val="Calibri"/>
        <family val="1"/>
      </rPr>
      <t>2 MP VF Dome,MVL- 2.8 to 12mm, Light</t>
    </r>
  </si>
  <si>
    <r>
      <rPr>
        <sz val="11"/>
        <rFont val="Calibri"/>
        <family val="1"/>
      </rPr>
      <t>Mic,WDR, Veri-focal,Dual Colour</t>
    </r>
  </si>
  <si>
    <r>
      <rPr>
        <sz val="11"/>
        <rFont val="Calibri"/>
        <family val="1"/>
      </rPr>
      <t>PT-NC146D3-WNRAM(D2)</t>
    </r>
  </si>
  <si>
    <r>
      <rPr>
        <sz val="11"/>
        <rFont val="Calibri"/>
        <family val="1"/>
      </rPr>
      <t>4 MP VF Bullet,MVL- 2.8 to 12mm, Light</t>
    </r>
  </si>
  <si>
    <r>
      <rPr>
        <sz val="11"/>
        <rFont val="Calibri"/>
        <family val="1"/>
      </rPr>
      <t>PT-NC147D3-WNRAM(D2)</t>
    </r>
  </si>
  <si>
    <r>
      <rPr>
        <sz val="11"/>
        <rFont val="Calibri"/>
        <family val="1"/>
      </rPr>
      <t>4 MP VF Dome,MVL- 2.8 to 12mm, Light</t>
    </r>
  </si>
  <si>
    <r>
      <rPr>
        <b/>
        <sz val="11"/>
        <color rgb="FFE6E6E6"/>
        <rFont val="Calibri"/>
        <family val="1"/>
      </rPr>
      <t>PRAMA NVR</t>
    </r>
  </si>
  <si>
    <r>
      <rPr>
        <sz val="11"/>
        <rFont val="Calibri"/>
        <family val="1"/>
      </rPr>
      <t>PT-NR1A04-Q1</t>
    </r>
  </si>
  <si>
    <r>
      <rPr>
        <sz val="11"/>
        <rFont val="Calibri"/>
        <family val="1"/>
      </rPr>
      <t>4Ch,1HDD,H.265+, 40Mbps</t>
    </r>
  </si>
  <si>
    <r>
      <rPr>
        <sz val="11"/>
        <rFont val="Calibri"/>
        <family val="1"/>
      </rPr>
      <t>ECO NVR</t>
    </r>
  </si>
  <si>
    <r>
      <rPr>
        <sz val="11"/>
        <rFont val="Calibri"/>
        <family val="1"/>
      </rPr>
      <t>PT-NR1A08-Q1</t>
    </r>
  </si>
  <si>
    <r>
      <rPr>
        <sz val="11"/>
        <rFont val="Calibri"/>
        <family val="1"/>
      </rPr>
      <t>8Ch,1HDD,H.265+, 60Mbps</t>
    </r>
  </si>
  <si>
    <r>
      <rPr>
        <sz val="11"/>
        <rFont val="Calibri"/>
        <family val="1"/>
      </rPr>
      <t>PT-NR2A04-Q1</t>
    </r>
  </si>
  <si>
    <r>
      <rPr>
        <sz val="11"/>
        <rFont val="Calibri"/>
        <family val="1"/>
      </rPr>
      <t>Upto 2/8MP, 4Ch,1HDD,H.265+,40/80M</t>
    </r>
  </si>
  <si>
    <r>
      <rPr>
        <sz val="11"/>
        <rFont val="Calibri"/>
        <family val="1"/>
      </rPr>
      <t>ONVIF,4K-HDMI,1G-RJ45</t>
    </r>
  </si>
  <si>
    <r>
      <rPr>
        <sz val="11"/>
        <rFont val="Calibri"/>
        <family val="1"/>
      </rPr>
      <t>PT-NR2A08-Q1</t>
    </r>
  </si>
  <si>
    <r>
      <rPr>
        <sz val="11"/>
        <rFont val="Calibri"/>
        <family val="1"/>
      </rPr>
      <t>Upto 2/8MP, 8Ch,1HDD,H.265+,80Mbp</t>
    </r>
  </si>
  <si>
    <r>
      <rPr>
        <sz val="11"/>
        <rFont val="Calibri"/>
        <family val="1"/>
      </rPr>
      <t>PT-NR2A16-Q1</t>
    </r>
  </si>
  <si>
    <r>
      <rPr>
        <sz val="11"/>
        <rFont val="Calibri"/>
        <family val="1"/>
      </rPr>
      <t>Upto 2/8MP, 16Ch,1HDD,H.265+,160M</t>
    </r>
  </si>
  <si>
    <r>
      <rPr>
        <sz val="11"/>
        <rFont val="Calibri"/>
        <family val="1"/>
      </rPr>
      <t>PT-NR2A08-Q2</t>
    </r>
  </si>
  <si>
    <r>
      <rPr>
        <sz val="11"/>
        <rFont val="Calibri"/>
        <family val="1"/>
      </rPr>
      <t>Upto 2/8MP, 8Ch,2HDD,H.265+, 80Mbp</t>
    </r>
  </si>
  <si>
    <r>
      <rPr>
        <sz val="11"/>
        <rFont val="Calibri"/>
        <family val="1"/>
      </rPr>
      <t>PT-NR2A16-Q2</t>
    </r>
  </si>
  <si>
    <r>
      <rPr>
        <sz val="11"/>
        <rFont val="Calibri"/>
        <family val="1"/>
      </rPr>
      <t>Upto 2/8MP, 16Ch,2HDD,H.265+160Mb</t>
    </r>
  </si>
  <si>
    <r>
      <rPr>
        <sz val="11"/>
        <rFont val="Calibri"/>
        <family val="1"/>
      </rPr>
      <t>PT-NRAS2A08-K2</t>
    </r>
  </si>
  <si>
    <r>
      <rPr>
        <sz val="11"/>
        <rFont val="Calibri"/>
        <family val="1"/>
      </rPr>
      <t>8Ch,Smart FunctionH.265+,80Mbps,2HD</t>
    </r>
  </si>
  <si>
    <r>
      <rPr>
        <sz val="11"/>
        <rFont val="Calibri"/>
        <family val="1"/>
      </rPr>
      <t>PT-NRAS2A16-K2</t>
    </r>
  </si>
  <si>
    <r>
      <rPr>
        <sz val="11"/>
        <rFont val="Calibri"/>
        <family val="1"/>
      </rPr>
      <t>16Ch,Smart FunctionH.265+, 160Mbps,</t>
    </r>
  </si>
  <si>
    <r>
      <rPr>
        <sz val="11"/>
        <rFont val="Calibri"/>
        <family val="1"/>
      </rPr>
      <t>ONVIF,4K-HDMI,1G-RJ46</t>
    </r>
  </si>
  <si>
    <r>
      <rPr>
        <sz val="11"/>
        <rFont val="Calibri"/>
        <family val="1"/>
      </rPr>
      <t>PT-NRAS2A32-K2</t>
    </r>
  </si>
  <si>
    <r>
      <rPr>
        <sz val="11"/>
        <rFont val="Calibri"/>
        <family val="1"/>
      </rPr>
      <t>32Ch,Smart FunctionH.265+, 160Mbps,</t>
    </r>
  </si>
  <si>
    <r>
      <rPr>
        <sz val="11"/>
        <rFont val="Calibri"/>
        <family val="1"/>
      </rPr>
      <t>PT-NRAS2B16-K4</t>
    </r>
  </si>
  <si>
    <r>
      <rPr>
        <sz val="11"/>
        <rFont val="Calibri"/>
        <family val="1"/>
      </rPr>
      <t>PT-NRAS2B32-K4</t>
    </r>
  </si>
  <si>
    <r>
      <rPr>
        <sz val="11"/>
        <rFont val="Calibri"/>
        <family val="1"/>
      </rPr>
      <t>32Ch,Smart FunctionH.265+, 256Mbps,</t>
    </r>
  </si>
  <si>
    <r>
      <rPr>
        <b/>
        <sz val="11"/>
        <color rgb="FFE6E6E6"/>
        <rFont val="Calibri"/>
        <family val="1"/>
      </rPr>
      <t>PRAMA Cable</t>
    </r>
  </si>
  <si>
    <r>
      <rPr>
        <b/>
        <sz val="11"/>
        <color rgb="FFE6E6E6"/>
        <rFont val="Calibri"/>
        <family val="1"/>
      </rPr>
      <t>PRAMA Cable MOP</t>
    </r>
  </si>
  <si>
    <r>
      <rPr>
        <b/>
        <sz val="11"/>
        <rFont val="Calibri"/>
        <family val="1"/>
      </rPr>
      <t>Categories</t>
    </r>
  </si>
  <si>
    <r>
      <rPr>
        <sz val="11"/>
        <rFont val="Calibri"/>
        <family val="1"/>
      </rPr>
      <t>PT-CLN6-E/W</t>
    </r>
  </si>
  <si>
    <r>
      <rPr>
        <sz val="11"/>
        <rFont val="Calibri"/>
        <family val="1"/>
      </rPr>
      <t>UTP Cable</t>
    </r>
  </si>
  <si>
    <r>
      <rPr>
        <sz val="11"/>
        <rFont val="Calibri"/>
        <family val="1"/>
      </rPr>
      <t>PT-CLN6-P/G</t>
    </r>
  </si>
  <si>
    <r>
      <rPr>
        <sz val="11"/>
        <rFont val="Calibri"/>
        <family val="1"/>
      </rPr>
      <t>PT-CMR59P-090/B</t>
    </r>
  </si>
  <si>
    <r>
      <rPr>
        <sz val="11"/>
        <rFont val="Calibri"/>
        <family val="1"/>
      </rPr>
      <t>3+1 Cable</t>
    </r>
  </si>
  <si>
    <r>
      <rPr>
        <sz val="11"/>
        <rFont val="Calibri"/>
        <family val="1"/>
      </rPr>
      <t>PT-CMR59P-180/B</t>
    </r>
  </si>
  <si>
    <r>
      <rPr>
        <b/>
        <sz val="12"/>
        <color rgb="FFE6E6E6"/>
        <rFont val="Calibri"/>
        <family val="2"/>
        <scheme val="minor"/>
      </rPr>
      <t>PRAMA HD Camera</t>
    </r>
  </si>
  <si>
    <r>
      <rPr>
        <b/>
        <sz val="12"/>
        <color rgb="FFE6E6E6"/>
        <rFont val="Calibri"/>
        <family val="2"/>
        <scheme val="minor"/>
      </rPr>
      <t>MOP</t>
    </r>
  </si>
  <si>
    <r>
      <rPr>
        <b/>
        <sz val="11"/>
        <rFont val="Calibri"/>
        <family val="1"/>
      </rPr>
      <t>Model No</t>
    </r>
  </si>
  <si>
    <r>
      <rPr>
        <b/>
        <sz val="11"/>
        <rFont val="Calibri"/>
        <family val="1"/>
      </rPr>
      <t>Type</t>
    </r>
  </si>
  <si>
    <r>
      <rPr>
        <b/>
        <sz val="11"/>
        <rFont val="Calibri"/>
        <family val="1"/>
      </rPr>
      <t>Resolution</t>
    </r>
  </si>
  <si>
    <r>
      <rPr>
        <b/>
        <sz val="11"/>
        <rFont val="Calibri"/>
        <family val="1"/>
      </rPr>
      <t>Lense</t>
    </r>
  </si>
  <si>
    <r>
      <rPr>
        <b/>
        <sz val="11"/>
        <rFont val="Calibri"/>
        <family val="1"/>
      </rPr>
      <t>IR Dist</t>
    </r>
  </si>
  <si>
    <r>
      <rPr>
        <b/>
        <sz val="11"/>
        <rFont val="Calibri"/>
        <family val="1"/>
      </rPr>
      <t>WDR</t>
    </r>
  </si>
  <si>
    <r>
      <rPr>
        <b/>
        <sz val="11"/>
        <rFont val="Calibri"/>
        <family val="1"/>
      </rPr>
      <t>MOP</t>
    </r>
  </si>
  <si>
    <r>
      <rPr>
        <b/>
        <sz val="11"/>
        <color rgb="FFFFFFFF"/>
        <rFont val="Calibri"/>
        <family val="1"/>
      </rPr>
      <t>2MP</t>
    </r>
  </si>
  <si>
    <r>
      <rPr>
        <sz val="11"/>
        <color rgb="FF010301"/>
        <rFont val="Calibri"/>
        <family val="1"/>
      </rPr>
      <t>CP-UNC-DA21L3C-Q</t>
    </r>
  </si>
  <si>
    <r>
      <rPr>
        <sz val="11"/>
        <color rgb="FF010301"/>
        <rFont val="Calibri"/>
        <family val="1"/>
      </rPr>
      <t>Dome</t>
    </r>
  </si>
  <si>
    <r>
      <rPr>
        <sz val="11"/>
        <color rgb="FF010301"/>
        <rFont val="Calibri"/>
        <family val="1"/>
      </rPr>
      <t>2MP</t>
    </r>
  </si>
  <si>
    <r>
      <rPr>
        <sz val="11"/>
        <color rgb="FF010301"/>
        <rFont val="Calibri"/>
        <family val="1"/>
      </rPr>
      <t>2.8mm</t>
    </r>
  </si>
  <si>
    <r>
      <rPr>
        <sz val="11"/>
        <color rgb="FF010301"/>
        <rFont val="Calibri"/>
        <family val="1"/>
      </rPr>
      <t>30mtr</t>
    </r>
  </si>
  <si>
    <r>
      <rPr>
        <sz val="11"/>
        <color rgb="FF010301"/>
        <rFont val="Calibri"/>
        <family val="1"/>
      </rPr>
      <t>No</t>
    </r>
  </si>
  <si>
    <r>
      <rPr>
        <sz val="11"/>
        <color rgb="FF010301"/>
        <rFont val="Calibri"/>
        <family val="1"/>
      </rPr>
      <t>3.6mm</t>
    </r>
  </si>
  <si>
    <r>
      <rPr>
        <sz val="11"/>
        <color rgb="FF010301"/>
        <rFont val="Calibri"/>
        <family val="1"/>
      </rPr>
      <t>CP-UNC-TA21L3C-Q</t>
    </r>
  </si>
  <si>
    <r>
      <rPr>
        <sz val="11"/>
        <color rgb="FF010301"/>
        <rFont val="Calibri"/>
        <family val="1"/>
      </rPr>
      <t>Bullet</t>
    </r>
  </si>
  <si>
    <r>
      <rPr>
        <sz val="11"/>
        <color rgb="FF010301"/>
        <rFont val="Calibri"/>
        <family val="1"/>
      </rPr>
      <t>CP-UNC-DA21L3C-LQ</t>
    </r>
  </si>
  <si>
    <r>
      <rPr>
        <sz val="11"/>
        <color rgb="FF010301"/>
        <rFont val="Calibri"/>
        <family val="1"/>
      </rPr>
      <t>CP-UNC-TA21L3C-LQ</t>
    </r>
  </si>
  <si>
    <r>
      <rPr>
        <sz val="11"/>
        <color rgb="FF010301"/>
        <rFont val="Calibri"/>
        <family val="1"/>
      </rPr>
      <t>CP-UNC-DA21L3B-LQ</t>
    </r>
  </si>
  <si>
    <r>
      <rPr>
        <sz val="11"/>
        <color rgb="FF010301"/>
        <rFont val="Calibri"/>
        <family val="1"/>
      </rPr>
      <t>CP-UNC-TA21L3B-LQ</t>
    </r>
  </si>
  <si>
    <r>
      <rPr>
        <sz val="11"/>
        <color rgb="FF010301"/>
        <rFont val="Calibri"/>
        <family val="1"/>
      </rPr>
      <t>CP-UNC-TA21L6C-Q</t>
    </r>
  </si>
  <si>
    <r>
      <rPr>
        <sz val="11"/>
        <color rgb="FF010301"/>
        <rFont val="Calibri"/>
        <family val="1"/>
      </rPr>
      <t>6mm</t>
    </r>
  </si>
  <si>
    <r>
      <rPr>
        <sz val="11"/>
        <color rgb="FF010301"/>
        <rFont val="Calibri"/>
        <family val="1"/>
      </rPr>
      <t>60mtr</t>
    </r>
  </si>
  <si>
    <r>
      <rPr>
        <b/>
        <sz val="11"/>
        <color rgb="FFFFFFFF"/>
        <rFont val="Calibri"/>
        <family val="1"/>
      </rPr>
      <t>4MP</t>
    </r>
  </si>
  <si>
    <r>
      <rPr>
        <sz val="11"/>
        <color rgb="FF010301"/>
        <rFont val="Calibri"/>
        <family val="1"/>
      </rPr>
      <t>CP-UNC-DA41L3C-D-Q</t>
    </r>
  </si>
  <si>
    <r>
      <rPr>
        <sz val="11"/>
        <color rgb="FF010301"/>
        <rFont val="Calibri"/>
        <family val="1"/>
      </rPr>
      <t>4MP</t>
    </r>
  </si>
  <si>
    <r>
      <rPr>
        <sz val="11"/>
        <color rgb="FF010301"/>
        <rFont val="Calibri"/>
        <family val="1"/>
      </rPr>
      <t>Yes</t>
    </r>
  </si>
  <si>
    <r>
      <rPr>
        <sz val="11"/>
        <color rgb="FF010301"/>
        <rFont val="Calibri"/>
        <family val="1"/>
      </rPr>
      <t>CP-UNC-TA41L3C-D-Q</t>
    </r>
  </si>
  <si>
    <r>
      <rPr>
        <sz val="11"/>
        <color rgb="FF010301"/>
        <rFont val="Calibri"/>
        <family val="1"/>
      </rPr>
      <t>CP-UNC-DA41L3C-D-LQ</t>
    </r>
  </si>
  <si>
    <r>
      <rPr>
        <sz val="11"/>
        <color rgb="FF010301"/>
        <rFont val="Calibri"/>
        <family val="1"/>
      </rPr>
      <t>CP-UNC-TA41L3C-D-LQ</t>
    </r>
  </si>
  <si>
    <r>
      <rPr>
        <sz val="11"/>
        <color rgb="FF010301"/>
        <rFont val="Calibri"/>
        <family val="1"/>
      </rPr>
      <t>yes</t>
    </r>
  </si>
  <si>
    <r>
      <rPr>
        <sz val="11"/>
        <color rgb="FF010301"/>
        <rFont val="Calibri"/>
        <family val="1"/>
      </rPr>
      <t>CP-UNC-DA41L3B-D-LQ</t>
    </r>
  </si>
  <si>
    <r>
      <rPr>
        <sz val="11"/>
        <color rgb="FF010301"/>
        <rFont val="Calibri"/>
        <family val="1"/>
      </rPr>
      <t>CP-UNC-TA41L3B-D-LQ</t>
    </r>
  </si>
  <si>
    <r>
      <rPr>
        <sz val="11"/>
        <color rgb="FF010301"/>
        <rFont val="Calibri"/>
        <family val="1"/>
      </rPr>
      <t>CP-UNC-TA41L6C-D-Q</t>
    </r>
  </si>
  <si>
    <r>
      <rPr>
        <b/>
        <sz val="11"/>
        <color rgb="FFFFFFFF"/>
        <rFont val="Calibri"/>
        <family val="1"/>
      </rPr>
      <t>6MP</t>
    </r>
  </si>
  <si>
    <r>
      <rPr>
        <sz val="11"/>
        <color rgb="FF010301"/>
        <rFont val="Calibri"/>
        <family val="1"/>
      </rPr>
      <t>CP-UNC-DA61L3C-LQ</t>
    </r>
  </si>
  <si>
    <r>
      <rPr>
        <sz val="11"/>
        <color rgb="FF010301"/>
        <rFont val="Calibri"/>
        <family val="1"/>
      </rPr>
      <t>6MP</t>
    </r>
  </si>
  <si>
    <r>
      <rPr>
        <sz val="11"/>
        <color rgb="FF010301"/>
        <rFont val="Calibri"/>
        <family val="1"/>
      </rPr>
      <t>CP-UNC-TA61L3C-LQ</t>
    </r>
  </si>
  <si>
    <r>
      <rPr>
        <b/>
        <sz val="11"/>
        <color rgb="FFFFFFFF"/>
        <rFont val="Calibri"/>
        <family val="1"/>
      </rPr>
      <t>8MP</t>
    </r>
  </si>
  <si>
    <r>
      <rPr>
        <sz val="11"/>
        <color rgb="FF010301"/>
        <rFont val="Calibri"/>
        <family val="1"/>
      </rPr>
      <t>CP-UNC-DA81L3C-LQ</t>
    </r>
  </si>
  <si>
    <r>
      <rPr>
        <sz val="11"/>
        <color rgb="FF010301"/>
        <rFont val="Calibri"/>
        <family val="1"/>
      </rPr>
      <t>8MP</t>
    </r>
  </si>
  <si>
    <r>
      <rPr>
        <sz val="11"/>
        <color rgb="FF010301"/>
        <rFont val="Calibri"/>
        <family val="1"/>
      </rPr>
      <t>CP-UNC-TA81L3C-LQ</t>
    </r>
  </si>
  <si>
    <r>
      <rPr>
        <b/>
        <sz val="11"/>
        <color rgb="FFFFFFFF"/>
        <rFont val="Calibri"/>
        <family val="1"/>
      </rPr>
      <t>1SATA NVR</t>
    </r>
  </si>
  <si>
    <r>
      <rPr>
        <sz val="11"/>
        <color rgb="FF040404"/>
        <rFont val="Calibri"/>
        <family val="1"/>
      </rPr>
      <t>CP-UNR-104F1</t>
    </r>
  </si>
  <si>
    <r>
      <rPr>
        <sz val="11"/>
        <color rgb="FF040404"/>
        <rFont val="Calibri"/>
        <family val="1"/>
      </rPr>
      <t>4 Ch.</t>
    </r>
  </si>
  <si>
    <r>
      <rPr>
        <sz val="11"/>
        <color rgb="FF040404"/>
        <rFont val="Calibri"/>
        <family val="1"/>
      </rPr>
      <t>80Mbps/80Mbps</t>
    </r>
  </si>
  <si>
    <r>
      <rPr>
        <sz val="11"/>
        <color rgb="FF040404"/>
        <rFont val="Calibri"/>
        <family val="1"/>
      </rPr>
      <t>Up to 8MP</t>
    </r>
  </si>
  <si>
    <r>
      <rPr>
        <sz val="11"/>
        <color rgb="FF040404"/>
        <rFont val="Calibri"/>
        <family val="1"/>
      </rPr>
      <t>1 SATA</t>
    </r>
  </si>
  <si>
    <r>
      <rPr>
        <sz val="11"/>
        <color rgb="FF040404"/>
        <rFont val="Calibri"/>
        <family val="1"/>
      </rPr>
      <t>CP-UNR-108F1</t>
    </r>
  </si>
  <si>
    <r>
      <rPr>
        <sz val="11"/>
        <color rgb="FF040404"/>
        <rFont val="Calibri"/>
        <family val="1"/>
      </rPr>
      <t>8 Ch.</t>
    </r>
  </si>
  <si>
    <r>
      <rPr>
        <sz val="11"/>
        <color rgb="FF040404"/>
        <rFont val="Calibri"/>
        <family val="1"/>
      </rPr>
      <t>CP-UNR-4K2161-V4</t>
    </r>
  </si>
  <si>
    <r>
      <rPr>
        <sz val="11"/>
        <color rgb="FF040404"/>
        <rFont val="Calibri"/>
        <family val="1"/>
      </rPr>
      <t>16 Ch.</t>
    </r>
  </si>
  <si>
    <r>
      <rPr>
        <sz val="11"/>
        <color rgb="FF221F1F"/>
        <rFont val="Calibri"/>
        <family val="1"/>
      </rPr>
      <t>1 SATA</t>
    </r>
  </si>
  <si>
    <r>
      <rPr>
        <sz val="11"/>
        <color rgb="FF040404"/>
        <rFont val="Calibri"/>
        <family val="1"/>
      </rPr>
      <t>CP-UNR-4K2162-V3</t>
    </r>
  </si>
  <si>
    <r>
      <rPr>
        <sz val="11"/>
        <color rgb="FF040404"/>
        <rFont val="Calibri"/>
        <family val="1"/>
      </rPr>
      <t>160Mbps/160Mbps</t>
    </r>
  </si>
  <si>
    <r>
      <rPr>
        <sz val="11"/>
        <color rgb="FF040404"/>
        <rFont val="Calibri"/>
        <family val="1"/>
      </rPr>
      <t>2 SATA</t>
    </r>
  </si>
  <si>
    <r>
      <rPr>
        <b/>
        <sz val="11"/>
        <color rgb="FFFFFFFF"/>
        <rFont val="Calibri"/>
        <family val="1"/>
      </rPr>
      <t>2 SATA NVR</t>
    </r>
  </si>
  <si>
    <r>
      <rPr>
        <sz val="11"/>
        <color rgb="FF040404"/>
        <rFont val="Calibri"/>
        <family val="1"/>
      </rPr>
      <t>CP-UNR-4K4082-V4</t>
    </r>
  </si>
  <si>
    <r>
      <rPr>
        <sz val="11"/>
        <color rgb="FF040404"/>
        <rFont val="Calibri"/>
        <family val="1"/>
      </rPr>
      <t>200Mbps</t>
    </r>
  </si>
  <si>
    <r>
      <rPr>
        <sz val="11"/>
        <color rgb="FF040404"/>
        <rFont val="Calibri"/>
        <family val="1"/>
      </rPr>
      <t>CP-UNR-4K4162-V4</t>
    </r>
  </si>
  <si>
    <r>
      <rPr>
        <sz val="11"/>
        <color rgb="FF040404"/>
        <rFont val="Calibri"/>
        <family val="1"/>
      </rPr>
      <t>16 Ch</t>
    </r>
    <r>
      <rPr>
        <sz val="11"/>
        <rFont val="Calibri"/>
        <family val="1"/>
      </rPr>
      <t>.</t>
    </r>
  </si>
  <si>
    <r>
      <rPr>
        <sz val="11"/>
        <color rgb="FF040404"/>
        <rFont val="Calibri"/>
        <family val="1"/>
      </rPr>
      <t>160Mbps</t>
    </r>
  </si>
  <si>
    <r>
      <rPr>
        <sz val="11"/>
        <color rgb="FF040404"/>
        <rFont val="Calibri"/>
        <family val="1"/>
      </rPr>
      <t>CP-UNR-4K4322-V4</t>
    </r>
  </si>
  <si>
    <r>
      <rPr>
        <sz val="11"/>
        <color rgb="FF040404"/>
        <rFont val="Calibri"/>
        <family val="1"/>
      </rPr>
      <t>32 Ch</t>
    </r>
    <r>
      <rPr>
        <sz val="11"/>
        <rFont val="Calibri"/>
        <family val="1"/>
      </rPr>
      <t>.</t>
    </r>
  </si>
  <si>
    <t>Up to 8MP</t>
  </si>
  <si>
    <t>HD ECO Cameras</t>
  </si>
  <si>
    <t>DS-2CE5AD0T-ITP\ECO</t>
  </si>
  <si>
    <t>Dome</t>
  </si>
  <si>
    <t>2MP</t>
  </si>
  <si>
    <t>1080P Resolution, CMOS Image Sensor, Up to 20m IR Distance, 2.8 mm/3.6 mm</t>
  </si>
  <si>
    <t>DS-2CE1AD0T-ITP\ECO</t>
  </si>
  <si>
    <t>Bullet</t>
  </si>
  <si>
    <t>DS-2CE76D0T-ITPFS</t>
  </si>
  <si>
    <t>1080P, Built-in-Mic, Up to 20m IR Distance, Switchable to TVI/AHD/CVI/CVB</t>
  </si>
  <si>
    <t>DS-2CE16D0T-ITPFS</t>
  </si>
  <si>
    <t>DS-2CE1AD0T-IT1F</t>
  </si>
  <si>
    <t>1080P, CMOS Sensor, Up to 20m IR Distance, Switchable to TVI/AHD/CVI/CVBS, 6mm</t>
  </si>
  <si>
    <t>DS-2CE1AD0T-IT3F</t>
  </si>
  <si>
    <t>1080P, CMOS Sensor, Up to 40m IR Distance, Switchable to TVI/AHD/CVI/CVBS, 8mm</t>
  </si>
  <si>
    <t>DS-2CE1AD0T-IT5F</t>
  </si>
  <si>
    <t>1080P, CMOS Sensor, Up to 80m IR Distance, Switchable to TVI/AHD/CVI/CVBS, 12mm</t>
  </si>
  <si>
    <t>DS-2CE76D3T-ITPF</t>
  </si>
  <si>
    <t>1080P, CMOS Sensor, Up to 20m IR Distance, Switchable, True WDR 120dB</t>
  </si>
  <si>
    <t>DS-2CE16D3T-ITPF</t>
  </si>
  <si>
    <t>DS-2CE79D3T-IT3ZF</t>
  </si>
  <si>
    <t>VF Dome</t>
  </si>
  <si>
    <t>1080P, CMOS Sensor, Up to 40m IR Distance, WDR, Switchable, Motorized Verifocal</t>
  </si>
  <si>
    <t>DS-2CE19D3T-AIT3ZF</t>
  </si>
  <si>
    <t>VF Bullet</t>
  </si>
  <si>
    <t>DS-2CE76H0T-ITPFS</t>
  </si>
  <si>
    <t>5MP</t>
  </si>
  <si>
    <t>2560 × 1944 Resolution, Built-in-Mic, Up to 20m IR Distance, Switchable 4-in-</t>
  </si>
  <si>
    <t>DS-2CE16H0T-ITPFS</t>
  </si>
  <si>
    <t>DS-2CE1AH0T-IT1F</t>
  </si>
  <si>
    <t>2560 × 1944 Resolution, Up to 20m IR Distance, Switchable 4-in-1, 6mm</t>
  </si>
  <si>
    <t>DS-2CE1AH0T-IT3F</t>
  </si>
  <si>
    <t>2560 × 1944 Resolution, Up to 40m IR Distance, Switchable 4-in-1, 8mm</t>
  </si>
  <si>
    <t>DS-2CE76U0T-ITPF</t>
  </si>
  <si>
    <t>8MP</t>
  </si>
  <si>
    <t>3840 × 2160 Resolution, CMOS Sensor, Up to 30m IR Distance, Switchable 4-in-1</t>
  </si>
  <si>
    <t>DS-2CE16U0T-ITPF</t>
  </si>
  <si>
    <t>DS-2CE70DF0T-PFS</t>
  </si>
  <si>
    <t>2 MP</t>
  </si>
  <si>
    <t>1080P, CMOS Sensor, Up to 20m IR, Switchable, D-WDR, Warm Light, ColourVu with Audio</t>
  </si>
  <si>
    <t>DS-2CE10DF0T-PFS</t>
  </si>
  <si>
    <t>DS-2CE17D0T-LFS</t>
  </si>
  <si>
    <t>1080P, Built-in-Mic, Up to 40m IR, Switchable, D- WDR, Warm Light, ColourVu, IP 67</t>
  </si>
  <si>
    <t>DS-2CE70DF3T-MFS</t>
  </si>
  <si>
    <t>1080P, Built-in-Mic, Up to 20m IR, Switchable, True WDR, Warm Light, ColourVu</t>
  </si>
  <si>
    <t>DS-2CE10DF3T-FS</t>
  </si>
  <si>
    <t>DS-2CE70KF0T-PFS</t>
  </si>
  <si>
    <t>6 MP</t>
  </si>
  <si>
    <t>2960 × 1665 Resolution, Built-in-Mic, Switchable, D-WDR, Warm Light, ColourVu</t>
  </si>
  <si>
    <t>DS-2CE10KF0T-PFS</t>
  </si>
  <si>
    <t>DS-2CE12KF0T-FS</t>
  </si>
  <si>
    <t>DS-2CE10DF3T-LPTS</t>
  </si>
  <si>
    <t>1920 × 1080 Resolution, TWO WAY TALK, Switchable, True WDR, Warm Light, ColourVu, IP 67</t>
  </si>
  <si>
    <t>DS-2CE16D0T-LPTS</t>
  </si>
  <si>
    <t>1920 × 1080 Resolution, TWO WAY TALK, Switchable, D- WDR, Warm Light, ColourVu, IP 67</t>
  </si>
  <si>
    <t>DS-2CE70D0T-PTLTS</t>
  </si>
  <si>
    <t>Pan-Tilt</t>
  </si>
  <si>
    <t>1920 × 1080 Resolution, TWO WAY TALK, Switchable, D-WDR, Warm Light, ColourVu</t>
  </si>
  <si>
    <t>DS-2CE16K0T-LPTS</t>
  </si>
  <si>
    <t>3K</t>
  </si>
  <si>
    <t>2960 × 1665 Resolution, TWO WAY TALK, Switchable, D- WDR, Warm Light, ColourVu</t>
  </si>
  <si>
    <t>DS-2CE78K0T-LTS</t>
  </si>
  <si>
    <t>2960 × 1665 Resolution, TWO WAY TALK, Switchable, D- WDR, Warm Light, ColourVu, 40m IR</t>
  </si>
  <si>
    <t>DS-2CE70DF3T-PTS</t>
  </si>
  <si>
    <t>2960 × 1665 Resolution, Built-in-Mic, Switchable, True WDR, Warm Light, ColourVu</t>
  </si>
  <si>
    <t>DS-2CE76D0T-LPFS</t>
  </si>
  <si>
    <t>1080P, Built-in-Mic, Up to 20m White light, Switchable, D-WDR, Smart Dual Light, IP67</t>
  </si>
  <si>
    <t>DS-2CE16D0T-LPFS</t>
  </si>
  <si>
    <t>DS-2CE76G0T-LPFS</t>
  </si>
  <si>
    <t>2K</t>
  </si>
  <si>
    <t>2K, Built-in-Mic, Up to 20m White light, Switchable, D-WDR, Smart Dual Light, IP67</t>
  </si>
  <si>
    <t>DS-2CE16G0T-LPFS</t>
  </si>
  <si>
    <t>DS-2CE76K0T-LPFS</t>
  </si>
  <si>
    <t>3K , Built-in-Mic, Up to 20m White light, Dome, Switchable, D-WDR, Smart Dual Light, IP67</t>
  </si>
  <si>
    <t>DS-2CE16K0T-LPFS</t>
  </si>
  <si>
    <t>3K , Built-in-Mic, Up to 20m White light, Bullet, Switchable, D-WDR, Smart Dual Light, IP67</t>
  </si>
  <si>
    <t>DS-7104HGHI-M1/T</t>
  </si>
  <si>
    <t>4 CH</t>
  </si>
  <si>
    <t>DS-7108HGHI-M1/T</t>
  </si>
  <si>
    <t>8 CH</t>
  </si>
  <si>
    <t>DS-7116HGHI-M1/T</t>
  </si>
  <si>
    <t>16 CH</t>
  </si>
  <si>
    <t>iDS-7104HQHI-M1/S</t>
  </si>
  <si>
    <t>4 MP</t>
  </si>
  <si>
    <t>4mp@15fps &amp; 1080p@25fps, IP Cam up to 6MP 2-ch, H.265+, 5-in-1 Video Input, A</t>
  </si>
  <si>
    <t>iDS-7108HQHI-M1/S</t>
  </si>
  <si>
    <t>4mp@15fps &amp; 1080p@25fps, IP Cam up to 6MP 4-ch, H.265+, 5-in-1 Video Input, A</t>
  </si>
  <si>
    <t>iDS-7208HQHI-M2/FA</t>
  </si>
  <si>
    <t>4mp@15fps &amp; 1080p@25fps, IP Cam up to 6MP 4-ch, H.265+, 5-in-1 Video Input,1 Ch Fa</t>
  </si>
  <si>
    <t>iDS-7116HQHI-M1/S</t>
  </si>
  <si>
    <t>4mp @15fps, IP Cam up to 6MP 8-ch, H.265+, 5-in-1, 16-ch Audio Cam Sup, AcuS</t>
  </si>
  <si>
    <t>iDS-7104HQHI-M1/T</t>
  </si>
  <si>
    <t>iDS-7108HQHI-M1/T</t>
  </si>
  <si>
    <t>iDS-7116HQHI-M1/T</t>
  </si>
  <si>
    <t>iDS-7204HQHI-M1/XT</t>
  </si>
  <si>
    <t>Metal Body, IP Cam up to 6MP 2-ch, H.265+, 5-in-1, 4-ch Audio Cam Sup,1 Ch Face, A</t>
  </si>
  <si>
    <t>iDS-7208HQHI-M1/XT</t>
  </si>
  <si>
    <t>Metal Body, IP Cam up to 6MP 4-ch, H.265+, 5-in-1, 8-ch Audio Cam Sup, 2 Ch Face, A</t>
  </si>
  <si>
    <t>iDS-7216HQHI-M1/XT</t>
  </si>
  <si>
    <t>iDS-7216HQHI-M2/XT</t>
  </si>
  <si>
    <t>DS-7232HGHI-M2</t>
  </si>
  <si>
    <t>32 CH</t>
  </si>
  <si>
    <t>iDS-7232HQHI-M2/XT</t>
  </si>
  <si>
    <t>Metal Body, IP Cam up to 6MP 8-ch, H.265+, 5-in-1, 16-ch Audio Cam Sup, AcuS</t>
  </si>
  <si>
    <t>iDS-7204HUHI-M1/X</t>
  </si>
  <si>
    <t>8 MP</t>
  </si>
  <si>
    <t>Metal Body, IP Cam up to 8MP 2-ch, 8 MP@15 fps, 5 MP@20 fps, 4-ch Audio, Acu</t>
  </si>
  <si>
    <t>iDS-7208HUHI-M1/X</t>
  </si>
  <si>
    <t>Metal Body, IP Cam up to 8MP 4-ch, 8 MP@15 fps, 5 MP@20 fps, 8-ch Audio, Acu</t>
  </si>
  <si>
    <t>iDS-7208HUHI-M1/T</t>
  </si>
  <si>
    <t>iDS-7208HUHI-M2/X</t>
  </si>
  <si>
    <t>iDS-7216HUHI-M2/X</t>
  </si>
  <si>
    <t>DS-2FA1205-DW-IN</t>
  </si>
  <si>
    <t>5 Amp</t>
  </si>
  <si>
    <t>Metal</t>
  </si>
  <si>
    <t>Output Screw - 2 (One +V and One -V), Wall Mountable, 12VDC</t>
  </si>
  <si>
    <t>DS-2FA120A-DW-IN</t>
  </si>
  <si>
    <t>10 Amp</t>
  </si>
  <si>
    <t>Output Screw - 4 (Two +V and Two -V) , Wall Mountable, 12VDC</t>
  </si>
  <si>
    <t>DS-2FA120K-DW-IN</t>
  </si>
  <si>
    <t>20 Amp</t>
  </si>
  <si>
    <t>DS-1LH1SCA3C-090B</t>
  </si>
  <si>
    <t>90 mtr</t>
  </si>
  <si>
    <t>Copper</t>
  </si>
  <si>
    <t>Jacket - Flat, Material - PVC, Impedance - 75ohms, Braiding Density ≥80%, 99% C</t>
  </si>
  <si>
    <t>DS-1LH1SCAM593C</t>
  </si>
  <si>
    <t>180 mtr</t>
  </si>
  <si>
    <t>PT-CMR59P-090/B</t>
  </si>
  <si>
    <t>PT-CMR59P-180/B</t>
  </si>
  <si>
    <t>PT-CLN6-P/G</t>
  </si>
  <si>
    <t>305 mtr</t>
  </si>
  <si>
    <t>Material - PVC, Colour Code- Grey, 24.50 AWG, 99% Copper, CAT 6</t>
  </si>
  <si>
    <t>DS-1LN6UZC0</t>
  </si>
  <si>
    <t>Material - PVC, Colour Code- Grey, 23 AWG, 99% Copper, CAT 6</t>
  </si>
  <si>
    <t>DS-7104NI-Q1/M</t>
  </si>
  <si>
    <t>40 Mbps</t>
  </si>
  <si>
    <t>H.265+, Up to 2MP Support, 60Mbps Outgoing Bandwidth, 1-ch 10/100 RJ45</t>
  </si>
  <si>
    <t>DS-7108NI-Q1/M</t>
  </si>
  <si>
    <t>60 Mbps</t>
  </si>
  <si>
    <t>DS-7116NI-Q1/M</t>
  </si>
  <si>
    <t>160 Mbps</t>
  </si>
  <si>
    <t>H.265+, Up to 4MP Support( 3CH), 4K Enabled, 80Mbps Outgoing Bandwidth, 1-ch G</t>
  </si>
  <si>
    <t>DS-7604NI-Q1</t>
  </si>
  <si>
    <t>H.265+, Up to 4MP Support, 4K Enabled, 80Mbps Outgoing Bandwidth, 1-ch 10/10</t>
  </si>
  <si>
    <t>DS-7608NI-Q1</t>
  </si>
  <si>
    <t>80 Mbps</t>
  </si>
  <si>
    <t>DS-7616NI-Q1</t>
  </si>
  <si>
    <t>H.265+, Up to 4MP Support, 4K Enabled, 80Mbps Outgoing Bandwidth, 1-ch Giga</t>
  </si>
  <si>
    <t>DS-7608NI-Q2</t>
  </si>
  <si>
    <t>DS-7616NI-Q2</t>
  </si>
  <si>
    <t>DS-7716NI-Q4</t>
  </si>
  <si>
    <t>DS-7604NXI-K1</t>
  </si>
  <si>
    <t>AcuSense, H.265+, Up to 8MP Support, 4K Enabled, 40Mbps Branding, 1-ch Giga</t>
  </si>
  <si>
    <t>DS-7608NXI-K1</t>
  </si>
  <si>
    <t>AcuSense, H.265+, Up to 8MP Support, 4K Enabled, 80Mbps Banding, 1-ch Giga</t>
  </si>
  <si>
    <t>DS-7616NXI-K1</t>
  </si>
  <si>
    <t>AcuSense, H.265+, Up to 8MP Support, 4K Enabled, 160Mbps Banding, 1-ch Giga</t>
  </si>
  <si>
    <t>DS-7608NXI-K2</t>
  </si>
  <si>
    <t>AcuSense, H.265+, Up to 8MP Support, 4K Enabled, 80Mbps Bandwidth, 1-ch Gig</t>
  </si>
  <si>
    <t>DS-7616NXI-K2</t>
  </si>
  <si>
    <t>AcuSense, H.265+, Up to 8MP Support, 4K Enabled, 160Mbps Bandwidth, 1-ch Gig</t>
  </si>
  <si>
    <t>DS-7632NXI-K2</t>
  </si>
  <si>
    <t>256 Mbps</t>
  </si>
  <si>
    <t>AcuSense, H.265+, Up to 8MP Support, 4K Enabled, 256Mbps Bandwidth, 1-ch Gig</t>
  </si>
  <si>
    <t>DS-7716NXI-K4</t>
  </si>
  <si>
    <t>Acusense,H.265+, Up to 8MP Support, 4K Enabled, 160Mbps Bandwidth, 1-ch Gig</t>
  </si>
  <si>
    <t>DS-7732NXI-K4</t>
  </si>
  <si>
    <t>Acusense,H.265+, Up to 8MP Support, 4K Enabled, 256Mbps Bandwidth, 1-ch Gig</t>
  </si>
  <si>
    <t>DS-8632NXI-K8</t>
  </si>
  <si>
    <t>Acusense,H.265+, Up to 8MP Support, 4K Enabled, 256 Mbps Bandwidth, 1-ch Gig</t>
  </si>
  <si>
    <t>DS-7764NI-M4</t>
  </si>
  <si>
    <t>64 CH</t>
  </si>
  <si>
    <t>400 Mbps</t>
  </si>
  <si>
    <t>Acusense,H.265+, Up to 8MP Support, 4K Enabled, 400Mbps Bandwidth, 2-ch Gig</t>
  </si>
  <si>
    <t>DS-KIS202T</t>
  </si>
  <si>
    <t>Kit</t>
  </si>
  <si>
    <t>7 inch</t>
  </si>
  <si>
    <t>Kit including Outdoor - DS-KB2411T-IM and Indoor - DS-KH2220, 1 relay outp</t>
  </si>
  <si>
    <t>DS-KIS204T</t>
  </si>
  <si>
    <t>Kit including DS-KB2411T-IM &amp; DS-KH2220-S, 1 relay output, 200 pic Library</t>
  </si>
  <si>
    <t>DS-KH2220-S</t>
  </si>
  <si>
    <t>Screen</t>
  </si>
  <si>
    <t>7-Inch Colorful TFT LCD, Physical Button, Microphone, Loudspeaker, 200 Image St</t>
  </si>
  <si>
    <t>DS-KIS602</t>
  </si>
  <si>
    <t>Kit Including DS-KD8003-IME1 &amp; DS-KH6320-WTE1, 2 Relay output, TF Card Sl</t>
  </si>
  <si>
    <t>DS-KIS603-P</t>
  </si>
  <si>
    <t>Wi-Fi &amp; LAN, 1 Relay output, TF Card Slot, 7-inch Colorful Touch Screen</t>
  </si>
  <si>
    <t>DS-KH6320-WTE1</t>
  </si>
  <si>
    <t>7-inch Colorful Touch Screen with Resolution 1024 × 600, TF Card Slot, 2 Relay ou</t>
  </si>
  <si>
    <t>DS-KV8413-WME1</t>
  </si>
  <si>
    <t>Outdoor</t>
  </si>
  <si>
    <t>---</t>
  </si>
  <si>
    <t>4 Button Villa Door Station, IP65, IK08, Low illumination IR 3 mtr, WDR, 2.4G W</t>
  </si>
  <si>
    <t>DS-K1A8503EF</t>
  </si>
  <si>
    <t>Finger Print only, Event Logs - 100000, 2.4-inch TFT, LAN</t>
  </si>
  <si>
    <t>DS-K1A8503EF-B</t>
  </si>
  <si>
    <t>Finger Print only, Event Logs - 100000, 2.4-inch TFT, LAN, With Battery</t>
  </si>
  <si>
    <t>DS-K1A340WX</t>
  </si>
  <si>
    <t>Only Face, 4.3-inch Touchscreen, Recog. Distance -0.3m to 1.5m, Event Logs - 3Lak</t>
  </si>
  <si>
    <t>DS-K1A340FWX</t>
  </si>
  <si>
    <t>Face &amp; Finger, 4.3-inch Touch, Recog. Distance -0.3m to 1.5m, Event Logs - 3Lakh,</t>
  </si>
  <si>
    <t>DS-K1T8003MF</t>
  </si>
  <si>
    <t>DS-K1T320EWX</t>
  </si>
  <si>
    <t>2.4-inch Display, Recog. Distance -0.3m to 1.5m, Event Logs - 1 Lakh, LAN &amp; W</t>
  </si>
  <si>
    <t>DS-K1T320EFWX</t>
  </si>
  <si>
    <t>DS-K1T320EFWX-B</t>
  </si>
  <si>
    <t>2.4-inch Display, Recog. Distance -0.3m to 1.5m, Event Logs - 1 Lakh, LAN &amp; WiFi, wit</t>
  </si>
  <si>
    <t>DS-K1T331W  (Metal)</t>
  </si>
  <si>
    <t>3.97-inch Touchscreen, Recog. Distance -0.3m to 1.5m, Event Logs - 1 Lakh, LAN &amp;</t>
  </si>
  <si>
    <t>DS-K1T343EWX</t>
  </si>
  <si>
    <t>4.3-inch Touchscreen, Recog. Distance -0.3m to 1.5m, Event Logs - 1.5 Lakh, LAN &amp;</t>
  </si>
  <si>
    <t>DS-K1T343EFWX</t>
  </si>
  <si>
    <t>DS-K1T342EFWX</t>
  </si>
  <si>
    <t>4.3-inch Touchscreen, Distance -0.3m to 1.5m, Event Logs - 1.5 Lakh,  LAN &amp; WiFi,</t>
  </si>
  <si>
    <t>DS-K1T342MFWX</t>
  </si>
  <si>
    <t>DS-K1T341CMF  (Metal)</t>
  </si>
  <si>
    <t>4.3-inch Touchscreen, Recog. Distance -0.3m to 1.5m, Event Logs - 1.5 Lakh, LAN,</t>
  </si>
  <si>
    <t>DS-D5022QE-D</t>
  </si>
  <si>
    <t>22 Inch</t>
  </si>
  <si>
    <t>21.5", 1080P, HDMI/VGA Input, view angle 178°,Base Bracket Inclued,  VESA, 12V DC, W</t>
  </si>
  <si>
    <t>DS-D5032QE</t>
  </si>
  <si>
    <t>32 Inch</t>
  </si>
  <si>
    <t>DS-D5043QE</t>
  </si>
  <si>
    <t>43 Inch</t>
  </si>
  <si>
    <r>
      <rPr>
        <sz val="12"/>
        <color rgb="FFFFFFFF"/>
        <rFont val="Calibri"/>
        <family val="2"/>
        <scheme val="minor"/>
      </rPr>
      <t>SL No</t>
    </r>
  </si>
  <si>
    <r>
      <rPr>
        <sz val="12"/>
        <color rgb="FFFFFFFF"/>
        <rFont val="Calibri"/>
        <family val="2"/>
        <scheme val="minor"/>
      </rPr>
      <t>Model Number</t>
    </r>
  </si>
  <si>
    <r>
      <rPr>
        <sz val="12"/>
        <color rgb="FFFFFFFF"/>
        <rFont val="Calibri"/>
        <family val="2"/>
        <scheme val="minor"/>
      </rPr>
      <t>Input</t>
    </r>
  </si>
  <si>
    <r>
      <rPr>
        <sz val="12"/>
        <color rgb="FFFFFFFF"/>
        <rFont val="Calibri"/>
        <family val="2"/>
        <scheme val="minor"/>
      </rPr>
      <t>Pixel</t>
    </r>
  </si>
  <si>
    <r>
      <rPr>
        <sz val="12"/>
        <color rgb="FFFFFFFF"/>
        <rFont val="Calibri"/>
        <family val="2"/>
        <scheme val="minor"/>
      </rPr>
      <t>Product Specifications</t>
    </r>
  </si>
  <si>
    <r>
      <rPr>
        <sz val="12"/>
        <color rgb="FFFFFFFF"/>
        <rFont val="Calibri"/>
        <family val="2"/>
        <scheme val="minor"/>
      </rPr>
      <t>HD Standard Cameras 1MP &amp; 2MP</t>
    </r>
  </si>
  <si>
    <r>
      <rPr>
        <sz val="12"/>
        <color rgb="FFFFFFFF"/>
        <rFont val="Calibri"/>
        <family val="2"/>
        <scheme val="minor"/>
      </rPr>
      <t>HD Standard Cameras 5MP &amp; 8MP</t>
    </r>
  </si>
  <si>
    <r>
      <rPr>
        <sz val="12"/>
        <color rgb="FFFFFFFF"/>
        <rFont val="Calibri"/>
        <family val="2"/>
        <scheme val="minor"/>
      </rPr>
      <t>ColourVu HD Cameras 2MP, 2K, 5MP &amp; 6MP</t>
    </r>
  </si>
  <si>
    <r>
      <rPr>
        <sz val="12"/>
        <color rgb="FFFFFFFF"/>
        <rFont val="Calibri"/>
        <family val="2"/>
        <scheme val="minor"/>
      </rPr>
      <t>ECO DVR 2MP</t>
    </r>
  </si>
  <si>
    <r>
      <rPr>
        <sz val="12"/>
        <rFont val="Calibri"/>
        <family val="2"/>
        <scheme val="minor"/>
      </rPr>
      <t>TWO WAY TALK ENABLE, BNC interface, 1080p@15 fps, IP Cam up to 2MP 1-ch, H.265+,
Input</t>
    </r>
  </si>
  <si>
    <r>
      <rPr>
        <sz val="12"/>
        <rFont val="Calibri"/>
        <family val="2"/>
        <scheme val="minor"/>
      </rPr>
      <t>TWO WAY TALK ENABLE, BNC interface, 1080p@15 fps, IP Cam up to 2MP 2-ch, H.265+,
Input</t>
    </r>
  </si>
  <si>
    <r>
      <rPr>
        <sz val="12"/>
        <rFont val="Calibri"/>
        <family val="2"/>
        <scheme val="minor"/>
      </rPr>
      <t>TWO WAY TALK ENABLE, BNC interface, 1080p@15 fps, IP Cam up to 5MP 2-ch, H.265+,
Input</t>
    </r>
  </si>
  <si>
    <r>
      <rPr>
        <sz val="12"/>
        <color rgb="FFFFFFFF"/>
        <rFont val="Calibri"/>
        <family val="2"/>
        <scheme val="minor"/>
      </rPr>
      <t>Standard DVR 4MP</t>
    </r>
  </si>
  <si>
    <r>
      <rPr>
        <sz val="12"/>
        <rFont val="Calibri"/>
        <family val="2"/>
        <scheme val="minor"/>
      </rPr>
      <t>Plastic Body, TWO WAY TALK ENABLE, IP Cam up to 6MP 2-ch, H.265+, 5-in-1, 4-ch Audio
Face, AcuSense</t>
    </r>
  </si>
  <si>
    <r>
      <rPr>
        <sz val="12"/>
        <rFont val="Calibri"/>
        <family val="2"/>
        <scheme val="minor"/>
      </rPr>
      <t>Plastic Body, TWO WAY TALK ENABLE, IP Cam up to 6MP 4-ch, H.265+, 5-in-1, 8-ch Audi
Ch Face, AcuSense</t>
    </r>
  </si>
  <si>
    <r>
      <rPr>
        <sz val="12"/>
        <rFont val="Calibri"/>
        <family val="2"/>
        <scheme val="minor"/>
      </rPr>
      <t>Plastic Body, TWO WAY TALK ENABLE, IP Cam up to 6MP 8-ch, H.265+, 5-in-1, 16-ch Two Way Audio S
,AcuSense</t>
    </r>
  </si>
  <si>
    <r>
      <rPr>
        <sz val="12"/>
        <rFont val="Calibri"/>
        <family val="2"/>
        <scheme val="minor"/>
      </rPr>
      <t>Metal Body, IP Cam up to 6MP 8-ch, H.265+, 5-in-1, 16-ch Two Way Audio Support, 4 Ch
,AcuSense</t>
    </r>
  </si>
  <si>
    <r>
      <rPr>
        <sz val="12"/>
        <rFont val="Calibri"/>
        <family val="2"/>
        <scheme val="minor"/>
      </rPr>
      <t>Metal Body, 720P/1080P Lite@15 fps, IP Cam upto 5MP 2 Ch, H.265+, 32ch Audio Via
Acusense</t>
    </r>
  </si>
  <si>
    <r>
      <rPr>
        <sz val="12"/>
        <color rgb="FFFFFFFF"/>
        <rFont val="Calibri"/>
        <family val="2"/>
        <scheme val="minor"/>
      </rPr>
      <t>Standard DVR 8MP</t>
    </r>
  </si>
  <si>
    <r>
      <rPr>
        <sz val="12"/>
        <rFont val="Calibri"/>
        <family val="2"/>
        <scheme val="minor"/>
      </rPr>
      <t>Metal Body, TWO WAY TALK ENABLE, IP Cam up to 8MP 4-ch, 8 MP@15 fps, 5 MP@20 fp
AcuSense</t>
    </r>
  </si>
  <si>
    <r>
      <rPr>
        <sz val="12"/>
        <rFont val="Calibri"/>
        <family val="2"/>
        <scheme val="minor"/>
      </rPr>
      <t>Metal Body, IP Cam up to 8MP 8-ch, 8 MP@15 fps, 5 MP@20 fps, 16-ch Audio Two w
AcuSense</t>
    </r>
  </si>
  <si>
    <r>
      <rPr>
        <i/>
        <sz val="12"/>
        <color rgb="FFFFFFFF"/>
        <rFont val="Calibri"/>
        <family val="2"/>
        <scheme val="minor"/>
      </rPr>
      <t>Hikvision SMPS &amp; 3+1 Cables</t>
    </r>
  </si>
  <si>
    <r>
      <rPr>
        <i/>
        <sz val="12"/>
        <color rgb="FFFFFFFF"/>
        <rFont val="Calibri"/>
        <family val="2"/>
        <scheme val="minor"/>
      </rPr>
      <t>SL No</t>
    </r>
  </si>
  <si>
    <r>
      <rPr>
        <i/>
        <sz val="12"/>
        <color rgb="FFFFFFFF"/>
        <rFont val="Calibri"/>
        <family val="2"/>
        <scheme val="minor"/>
      </rPr>
      <t>Model Number</t>
    </r>
  </si>
  <si>
    <r>
      <rPr>
        <i/>
        <sz val="12"/>
        <color rgb="FFFFFFFF"/>
        <rFont val="Calibri"/>
        <family val="2"/>
        <scheme val="minor"/>
      </rPr>
      <t>Output</t>
    </r>
  </si>
  <si>
    <r>
      <rPr>
        <i/>
        <sz val="12"/>
        <color rgb="FFFFFFFF"/>
        <rFont val="Calibri"/>
        <family val="2"/>
        <scheme val="minor"/>
      </rPr>
      <t>Housing</t>
    </r>
  </si>
  <si>
    <r>
      <rPr>
        <i/>
        <sz val="12"/>
        <color rgb="FFFFFFFF"/>
        <rFont val="Calibri"/>
        <family val="2"/>
        <scheme val="minor"/>
      </rPr>
      <t>Product Specifications</t>
    </r>
  </si>
  <si>
    <r>
      <rPr>
        <i/>
        <sz val="12"/>
        <color rgb="FFFFFFFF"/>
        <rFont val="Calibri"/>
        <family val="2"/>
        <scheme val="minor"/>
      </rPr>
      <t>Length</t>
    </r>
  </si>
  <si>
    <r>
      <rPr>
        <i/>
        <sz val="12"/>
        <color rgb="FFFFFFFF"/>
        <rFont val="Calibri"/>
        <family val="2"/>
        <scheme val="minor"/>
      </rPr>
      <t>Metal</t>
    </r>
  </si>
  <si>
    <r>
      <rPr>
        <sz val="12"/>
        <color rgb="FF2D75B5"/>
        <rFont val="Calibri"/>
        <family val="2"/>
        <scheme val="minor"/>
      </rPr>
      <t>Brand - PRAMA</t>
    </r>
    <r>
      <rPr>
        <sz val="12"/>
        <rFont val="Calibri"/>
        <family val="2"/>
        <scheme val="minor"/>
      </rPr>
      <t>, Jacket - White, Round, Material -PVC, Colour Code - Red, Yellow</t>
    </r>
  </si>
  <si>
    <r>
      <rPr>
        <i/>
        <sz val="12"/>
        <color rgb="FFFFFFFF"/>
        <rFont val="Calibri"/>
        <family val="2"/>
        <scheme val="minor"/>
      </rPr>
      <t>Hikvision  NVRs</t>
    </r>
  </si>
  <si>
    <r>
      <rPr>
        <i/>
        <sz val="12"/>
        <color rgb="FFFFFFFF"/>
        <rFont val="Calibri"/>
        <family val="2"/>
        <scheme val="minor"/>
      </rPr>
      <t>Input</t>
    </r>
  </si>
  <si>
    <r>
      <rPr>
        <i/>
        <sz val="12"/>
        <color rgb="FFFFFFFF"/>
        <rFont val="Calibri"/>
        <family val="2"/>
        <scheme val="minor"/>
      </rPr>
      <t>Mbps</t>
    </r>
  </si>
  <si>
    <r>
      <rPr>
        <sz val="12"/>
        <color rgb="FFFFFFFF"/>
        <rFont val="Calibri"/>
        <family val="2"/>
        <scheme val="minor"/>
      </rPr>
      <t>Q-Series NVR</t>
    </r>
  </si>
  <si>
    <r>
      <rPr>
        <sz val="12"/>
        <color rgb="FFFFFFFF"/>
        <rFont val="Calibri"/>
        <family val="2"/>
        <scheme val="minor"/>
      </rPr>
      <t>K-Series NVR</t>
    </r>
  </si>
  <si>
    <r>
      <rPr>
        <i/>
        <sz val="12"/>
        <color rgb="FFFFFFFF"/>
        <rFont val="Calibri"/>
        <family val="2"/>
        <scheme val="minor"/>
      </rPr>
      <t>Hikvision Video Door Phone(VDP)</t>
    </r>
  </si>
  <si>
    <r>
      <rPr>
        <i/>
        <sz val="12"/>
        <color rgb="FFFFFFFF"/>
        <rFont val="Calibri"/>
        <family val="2"/>
        <scheme val="minor"/>
      </rPr>
      <t>Shape</t>
    </r>
  </si>
  <si>
    <r>
      <rPr>
        <i/>
        <sz val="12"/>
        <color rgb="FFFFFFFF"/>
        <rFont val="Calibri"/>
        <family val="2"/>
        <scheme val="minor"/>
      </rPr>
      <t>Screen Size</t>
    </r>
  </si>
  <si>
    <r>
      <rPr>
        <sz val="12"/>
        <color rgb="FFFFFFFF"/>
        <rFont val="Calibri"/>
        <family val="2"/>
        <scheme val="minor"/>
      </rPr>
      <t>Analog VDP</t>
    </r>
  </si>
  <si>
    <r>
      <rPr>
        <sz val="12"/>
        <color rgb="FFFFFFFF"/>
        <rFont val="Calibri"/>
        <family val="2"/>
        <scheme val="minor"/>
      </rPr>
      <t>Network VDP</t>
    </r>
  </si>
  <si>
    <r>
      <rPr>
        <i/>
        <sz val="12"/>
        <color rgb="FFFFFFFF"/>
        <rFont val="Calibri"/>
        <family val="2"/>
        <scheme val="minor"/>
      </rPr>
      <t>Hikvision Access Control &amp; Biometrics</t>
    </r>
  </si>
  <si>
    <r>
      <rPr>
        <i/>
        <sz val="12"/>
        <color rgb="FFFFFFFF"/>
        <rFont val="Calibri"/>
        <family val="2"/>
        <scheme val="minor"/>
      </rPr>
      <t>Face</t>
    </r>
  </si>
  <si>
    <r>
      <rPr>
        <i/>
        <sz val="12"/>
        <color rgb="FFFFFFFF"/>
        <rFont val="Calibri"/>
        <family val="2"/>
        <scheme val="minor"/>
      </rPr>
      <t>Finger</t>
    </r>
  </si>
  <si>
    <r>
      <rPr>
        <sz val="12"/>
        <color rgb="FFFFFFFF"/>
        <rFont val="Calibri"/>
        <family val="2"/>
        <scheme val="minor"/>
      </rPr>
      <t>Without Access Control (Attendance Only)</t>
    </r>
  </si>
  <si>
    <r>
      <rPr>
        <sz val="12"/>
        <color rgb="FFFFFFFF"/>
        <rFont val="Calibri"/>
        <family val="2"/>
        <scheme val="minor"/>
      </rPr>
      <t>With Access Control</t>
    </r>
  </si>
  <si>
    <r>
      <rPr>
        <sz val="12"/>
        <rFont val="Calibri"/>
        <family val="2"/>
        <scheme val="minor"/>
      </rPr>
      <t>31.5", 1080P, HDMI/VGA Input, view angle 178°,Base Bracket Included,  VESA, 12V DC, 1
24*7 Working hour</t>
    </r>
  </si>
  <si>
    <r>
      <rPr>
        <sz val="12"/>
        <rFont val="Calibri"/>
        <family val="2"/>
        <scheme val="minor"/>
      </rPr>
      <t>43", 1080P, HDMI/VGA Input, view angle 178°,Base Bracket Included,  VESA, 12V DC, 10
24*7 Working hour</t>
    </r>
  </si>
  <si>
    <r>
      <rPr>
        <b/>
        <sz val="11"/>
        <color rgb="FFFFFFFF"/>
        <rFont val="Calibri"/>
        <family val="1"/>
      </rPr>
      <t>Category</t>
    </r>
  </si>
  <si>
    <r>
      <rPr>
        <b/>
        <sz val="11"/>
        <color rgb="FFFFFFFF"/>
        <rFont val="Calibri"/>
        <family val="1"/>
      </rPr>
      <t>Model</t>
    </r>
  </si>
  <si>
    <r>
      <rPr>
        <b/>
        <sz val="11"/>
        <color rgb="FFFFFFFF"/>
        <rFont val="Calibri"/>
        <family val="1"/>
      </rPr>
      <t>Type</t>
    </r>
  </si>
  <si>
    <r>
      <rPr>
        <b/>
        <sz val="11"/>
        <color rgb="FFFFFFFF"/>
        <rFont val="Calibri"/>
        <family val="1"/>
      </rPr>
      <t>Lens</t>
    </r>
  </si>
  <si>
    <r>
      <rPr>
        <b/>
        <sz val="11"/>
        <color rgb="FFFFFFFF"/>
        <rFont val="Calibri"/>
        <family val="1"/>
      </rPr>
      <t>IR</t>
    </r>
  </si>
  <si>
    <r>
      <rPr>
        <b/>
        <sz val="11"/>
        <color rgb="FFFFFFFF"/>
        <rFont val="Calibri"/>
        <family val="1"/>
      </rPr>
      <t>Audio</t>
    </r>
  </si>
  <si>
    <r>
      <rPr>
        <b/>
        <sz val="11"/>
        <color rgb="FFFFFFFF"/>
        <rFont val="Calibri"/>
        <family val="1"/>
      </rPr>
      <t>Full Colour</t>
    </r>
  </si>
  <si>
    <r>
      <rPr>
        <b/>
        <sz val="11"/>
        <color rgb="FFFFFFFF"/>
        <rFont val="Calibri"/>
        <family val="1"/>
      </rPr>
      <t>MOP</t>
    </r>
  </si>
  <si>
    <r>
      <rPr>
        <b/>
        <sz val="11"/>
        <color rgb="FFFFFFFF"/>
        <rFont val="Calibri"/>
        <family val="1"/>
      </rPr>
      <t>2.4MP Eco Lite Range</t>
    </r>
  </si>
  <si>
    <r>
      <rPr>
        <sz val="11"/>
        <color rgb="FF040404"/>
        <rFont val="Calibri"/>
        <family val="1"/>
      </rPr>
      <t>2.4MP</t>
    </r>
  </si>
  <si>
    <r>
      <rPr>
        <sz val="11"/>
        <color rgb="FF040404"/>
        <rFont val="Calibri"/>
        <family val="1"/>
      </rPr>
      <t>CP-URC-DC24PL3</t>
    </r>
  </si>
  <si>
    <r>
      <rPr>
        <sz val="11"/>
        <color rgb="FF040404"/>
        <rFont val="Calibri"/>
        <family val="1"/>
      </rPr>
      <t>IR Dome Plastic</t>
    </r>
  </si>
  <si>
    <r>
      <rPr>
        <sz val="11"/>
        <color rgb="FF040404"/>
        <rFont val="Calibri"/>
        <family val="1"/>
      </rPr>
      <t>3.6mm</t>
    </r>
  </si>
  <si>
    <r>
      <rPr>
        <sz val="11"/>
        <color rgb="FF040404"/>
        <rFont val="Calibri"/>
        <family val="1"/>
      </rPr>
      <t>30M</t>
    </r>
  </si>
  <si>
    <r>
      <rPr>
        <sz val="11"/>
        <color rgb="FF040404"/>
        <rFont val="Calibri"/>
        <family val="1"/>
      </rPr>
      <t>No</t>
    </r>
  </si>
  <si>
    <r>
      <rPr>
        <sz val="11"/>
        <color rgb="FF040404"/>
        <rFont val="Calibri"/>
        <family val="1"/>
      </rPr>
      <t>NA</t>
    </r>
  </si>
  <si>
    <r>
      <rPr>
        <sz val="11"/>
        <color rgb="FF040404"/>
        <rFont val="Calibri"/>
        <family val="1"/>
      </rPr>
      <t>CP-URC-TC24PL3</t>
    </r>
  </si>
  <si>
    <r>
      <rPr>
        <sz val="11"/>
        <color rgb="FF040404"/>
        <rFont val="Calibri"/>
        <family val="1"/>
      </rPr>
      <t>IR Bullet Plastic</t>
    </r>
  </si>
  <si>
    <r>
      <rPr>
        <sz val="11"/>
        <color rgb="FF040404"/>
        <rFont val="Calibri"/>
        <family val="1"/>
      </rPr>
      <t>CP-URC-DC24PL3C</t>
    </r>
  </si>
  <si>
    <r>
      <rPr>
        <sz val="11"/>
        <color rgb="FF040404"/>
        <rFont val="Calibri"/>
        <family val="1"/>
      </rPr>
      <t>In-Built</t>
    </r>
  </si>
  <si>
    <r>
      <rPr>
        <sz val="11"/>
        <color rgb="FF040404"/>
        <rFont val="Calibri"/>
        <family val="1"/>
      </rPr>
      <t>CP-URC-TC24PL3C</t>
    </r>
  </si>
  <si>
    <r>
      <rPr>
        <b/>
        <sz val="11"/>
        <color rgb="FFFFFFFF"/>
        <rFont val="Calibri"/>
        <family val="1"/>
      </rPr>
      <t>2.4MP  Duel IR Range</t>
    </r>
  </si>
  <si>
    <r>
      <rPr>
        <sz val="11"/>
        <color rgb="FF040404"/>
        <rFont val="Calibri"/>
        <family val="1"/>
      </rPr>
      <t>CP-URC-DC24PL3C-L</t>
    </r>
  </si>
  <si>
    <r>
      <rPr>
        <sz val="11"/>
        <color rgb="FF040404"/>
        <rFont val="Calibri"/>
        <family val="1"/>
      </rPr>
      <t>Yes</t>
    </r>
  </si>
  <si>
    <r>
      <rPr>
        <sz val="11"/>
        <color rgb="FF040404"/>
        <rFont val="Calibri"/>
        <family val="1"/>
      </rPr>
      <t>CP-URC-TC24PL3C-L</t>
    </r>
  </si>
  <si>
    <r>
      <rPr>
        <b/>
        <sz val="11"/>
        <color rgb="FFFFFFFF"/>
        <rFont val="Calibri"/>
        <family val="1"/>
      </rPr>
      <t>2 Way Audio 2.4MP Duel IR Range</t>
    </r>
  </si>
  <si>
    <r>
      <rPr>
        <sz val="11"/>
        <color rgb="FF040404"/>
        <rFont val="Calibri"/>
        <family val="1"/>
      </rPr>
      <t>CP-UMC-DA24L4-L</t>
    </r>
  </si>
  <si>
    <r>
      <rPr>
        <sz val="11"/>
        <color rgb="FF040404"/>
        <rFont val="Calibri"/>
        <family val="1"/>
      </rPr>
      <t>IR Dome</t>
    </r>
  </si>
  <si>
    <r>
      <rPr>
        <sz val="11"/>
        <color rgb="FF040404"/>
        <rFont val="Calibri"/>
        <family val="1"/>
      </rPr>
      <t>40M</t>
    </r>
  </si>
  <si>
    <r>
      <rPr>
        <sz val="11"/>
        <color rgb="FF040404"/>
        <rFont val="Calibri"/>
        <family val="1"/>
      </rPr>
      <t>Both Way</t>
    </r>
  </si>
  <si>
    <r>
      <rPr>
        <sz val="11"/>
        <color rgb="FF040404"/>
        <rFont val="Calibri"/>
        <family val="1"/>
      </rPr>
      <t>CP-UMC-TA24L3-L</t>
    </r>
  </si>
  <si>
    <r>
      <rPr>
        <sz val="11"/>
        <color rgb="FF040404"/>
        <rFont val="Calibri"/>
        <family val="1"/>
      </rPr>
      <t>IR Bullet</t>
    </r>
  </si>
  <si>
    <r>
      <rPr>
        <b/>
        <sz val="11"/>
        <color rgb="FFFFFFFF"/>
        <rFont val="Calibri"/>
        <family val="1"/>
      </rPr>
      <t>2.4MP Guard+ Range</t>
    </r>
  </si>
  <si>
    <r>
      <rPr>
        <sz val="11"/>
        <color rgb="FF040404"/>
        <rFont val="Calibri"/>
        <family val="1"/>
      </rPr>
      <t>CP-GPC-DA24PL2C-SE</t>
    </r>
  </si>
  <si>
    <r>
      <rPr>
        <sz val="11"/>
        <color rgb="FF040404"/>
        <rFont val="Calibri"/>
        <family val="1"/>
      </rPr>
      <t>Dome</t>
    </r>
  </si>
  <si>
    <r>
      <rPr>
        <sz val="11"/>
        <color rgb="FF040404"/>
        <rFont val="Calibri"/>
        <family val="1"/>
      </rPr>
      <t>20M</t>
    </r>
  </si>
  <si>
    <r>
      <rPr>
        <sz val="11"/>
        <color rgb="FF040404"/>
        <rFont val="Calibri"/>
        <family val="1"/>
      </rPr>
      <t>CP-GPC-TA24PL2C-SE</t>
    </r>
  </si>
  <si>
    <r>
      <rPr>
        <sz val="11"/>
        <color rgb="FF040404"/>
        <rFont val="Calibri"/>
        <family val="1"/>
      </rPr>
      <t>Bullet</t>
    </r>
  </si>
  <si>
    <r>
      <rPr>
        <b/>
        <sz val="11"/>
        <color rgb="FFFFFFFF"/>
        <rFont val="Calibri"/>
        <family val="1"/>
      </rPr>
      <t>5MP Range</t>
    </r>
  </si>
  <si>
    <r>
      <rPr>
        <sz val="11"/>
        <color rgb="FF040404"/>
        <rFont val="Calibri"/>
        <family val="1"/>
      </rPr>
      <t>5MP</t>
    </r>
  </si>
  <si>
    <r>
      <rPr>
        <sz val="11"/>
        <color rgb="FF040404"/>
        <rFont val="Calibri"/>
        <family val="1"/>
      </rPr>
      <t>CP-URC-DC51PL3C</t>
    </r>
  </si>
  <si>
    <r>
      <rPr>
        <sz val="11"/>
        <color rgb="FF040404"/>
        <rFont val="Calibri"/>
        <family val="1"/>
      </rPr>
      <t>Dome IR</t>
    </r>
  </si>
  <si>
    <r>
      <rPr>
        <sz val="11"/>
        <color rgb="FF040404"/>
        <rFont val="Calibri"/>
        <family val="1"/>
      </rPr>
      <t>CP-URC-TC51PL3C</t>
    </r>
  </si>
  <si>
    <r>
      <rPr>
        <sz val="11"/>
        <color rgb="FF040404"/>
        <rFont val="Calibri"/>
        <family val="1"/>
      </rPr>
      <t>Bullet IR</t>
    </r>
  </si>
  <si>
    <r>
      <rPr>
        <b/>
        <sz val="11"/>
        <color rgb="FFFFFFFF"/>
        <rFont val="Calibri"/>
        <family val="1"/>
      </rPr>
      <t>5MP Dual IR Range</t>
    </r>
  </si>
  <si>
    <r>
      <rPr>
        <sz val="11"/>
        <color rgb="FF040404"/>
        <rFont val="Calibri"/>
        <family val="1"/>
      </rPr>
      <t>CP-URC-DC51PL3C-L</t>
    </r>
  </si>
  <si>
    <r>
      <rPr>
        <sz val="11"/>
        <color rgb="FF040404"/>
        <rFont val="Calibri"/>
        <family val="1"/>
      </rPr>
      <t>CP-URC-TC51PL3C-L</t>
    </r>
  </si>
  <si>
    <r>
      <rPr>
        <sz val="11"/>
        <color rgb="FF040404"/>
        <rFont val="Calibri"/>
        <family val="1"/>
      </rPr>
      <t>4CH</t>
    </r>
  </si>
  <si>
    <r>
      <rPr>
        <sz val="11"/>
        <color rgb="FF040404"/>
        <rFont val="Calibri"/>
        <family val="1"/>
      </rPr>
      <t xml:space="preserve">CP-UVR-0401E1-IC/
</t>
    </r>
    <r>
      <rPr>
        <sz val="11"/>
        <color rgb="FF040404"/>
        <rFont val="Calibri"/>
        <family val="1"/>
      </rPr>
      <t>CP-UVR-0401E1-IC2</t>
    </r>
  </si>
  <si>
    <r>
      <rPr>
        <sz val="11"/>
        <color rgb="FF040404"/>
        <rFont val="Calibri"/>
        <family val="1"/>
      </rPr>
      <t>H.265</t>
    </r>
  </si>
  <si>
    <r>
      <rPr>
        <sz val="11"/>
        <color rgb="FF040404"/>
        <rFont val="Calibri"/>
        <family val="1"/>
      </rPr>
      <t>1MP/2MP</t>
    </r>
  </si>
  <si>
    <r>
      <rPr>
        <sz val="11"/>
        <color rgb="FF040404"/>
        <rFont val="Calibri"/>
        <family val="1"/>
      </rPr>
      <t>METAL</t>
    </r>
  </si>
  <si>
    <r>
      <rPr>
        <sz val="11"/>
        <color rgb="FF040404"/>
        <rFont val="Calibri"/>
        <family val="1"/>
      </rPr>
      <t>CP-UVR-0404E1-I</t>
    </r>
  </si>
  <si>
    <r>
      <rPr>
        <sz val="11"/>
        <rFont val="Calibri"/>
        <family val="1"/>
      </rPr>
      <t>H.265</t>
    </r>
  </si>
  <si>
    <r>
      <rPr>
        <sz val="11"/>
        <rFont val="Calibri"/>
        <family val="1"/>
      </rPr>
      <t>1MP/ 2MP</t>
    </r>
  </si>
  <si>
    <r>
      <rPr>
        <sz val="11"/>
        <color rgb="FF040404"/>
        <rFont val="Calibri"/>
        <family val="1"/>
      </rPr>
      <t xml:space="preserve">CP-UVR-0401F1-HC /
</t>
    </r>
    <r>
      <rPr>
        <sz val="11"/>
        <color rgb="FF040404"/>
        <rFont val="Calibri"/>
        <family val="1"/>
      </rPr>
      <t>CP-UVR-0401F1-IC</t>
    </r>
  </si>
  <si>
    <r>
      <rPr>
        <sz val="11"/>
        <rFont val="Calibri"/>
        <family val="1"/>
      </rPr>
      <t>1MP/2MP/5MP</t>
    </r>
  </si>
  <si>
    <r>
      <rPr>
        <sz val="11"/>
        <color rgb="FF040404"/>
        <rFont val="Calibri"/>
        <family val="1"/>
      </rPr>
      <t xml:space="preserve">CP-UVR-0401L1-4KH /
</t>
    </r>
    <r>
      <rPr>
        <sz val="11"/>
        <color rgb="FF040404"/>
        <rFont val="Calibri"/>
        <family val="1"/>
      </rPr>
      <t>CP-UVR-0401L1-4KI3</t>
    </r>
  </si>
  <si>
    <r>
      <rPr>
        <sz val="11"/>
        <rFont val="Calibri"/>
        <family val="1"/>
      </rPr>
      <t>METAL</t>
    </r>
  </si>
  <si>
    <r>
      <rPr>
        <sz val="11"/>
        <color rgb="FF040404"/>
        <rFont val="Calibri"/>
        <family val="1"/>
      </rPr>
      <t>8CH</t>
    </r>
  </si>
  <si>
    <r>
      <rPr>
        <sz val="11"/>
        <color rgb="FF040404"/>
        <rFont val="Calibri"/>
        <family val="1"/>
      </rPr>
      <t xml:space="preserve">CP-UVR-0801E1-IC2 /
</t>
    </r>
    <r>
      <rPr>
        <sz val="11"/>
        <color rgb="FF040404"/>
        <rFont val="Calibri"/>
        <family val="1"/>
      </rPr>
      <t>CP-UVR-0801E1-IC</t>
    </r>
  </si>
  <si>
    <r>
      <rPr>
        <sz val="11"/>
        <color rgb="FF040404"/>
        <rFont val="Calibri"/>
        <family val="1"/>
      </rPr>
      <t>CP-UVR-0808E1-I</t>
    </r>
  </si>
  <si>
    <r>
      <rPr>
        <sz val="11"/>
        <color rgb="FF040404"/>
        <rFont val="Calibri"/>
        <family val="1"/>
      </rPr>
      <t xml:space="preserve">CP-UVR-0801F1-IC/
</t>
    </r>
    <r>
      <rPr>
        <sz val="11"/>
        <color rgb="FF040404"/>
        <rFont val="Calibri"/>
        <family val="1"/>
      </rPr>
      <t>CP-UVR-0801F1-IC2</t>
    </r>
  </si>
  <si>
    <r>
      <rPr>
        <sz val="11"/>
        <color rgb="FF040404"/>
        <rFont val="Calibri"/>
        <family val="1"/>
      </rPr>
      <t>2MP/4MP/5MP</t>
    </r>
  </si>
  <si>
    <r>
      <rPr>
        <sz val="11"/>
        <color rgb="FF040404"/>
        <rFont val="Calibri"/>
        <family val="1"/>
      </rPr>
      <t xml:space="preserve">CP-UVR-0801L1-4KH /
</t>
    </r>
    <r>
      <rPr>
        <sz val="11"/>
        <color rgb="FF040404"/>
        <rFont val="Calibri"/>
        <family val="1"/>
      </rPr>
      <t>CP-UVR-0801L1-4KI3-V2</t>
    </r>
  </si>
  <si>
    <r>
      <rPr>
        <sz val="11"/>
        <color rgb="FF040404"/>
        <rFont val="Calibri"/>
        <family val="1"/>
      </rPr>
      <t>4MP/5MP/4K</t>
    </r>
  </si>
  <si>
    <r>
      <rPr>
        <sz val="11"/>
        <color rgb="FF040404"/>
        <rFont val="Calibri"/>
        <family val="1"/>
      </rPr>
      <t>16CH</t>
    </r>
  </si>
  <si>
    <r>
      <rPr>
        <sz val="11"/>
        <color rgb="FF040404"/>
        <rFont val="Calibri"/>
        <family val="1"/>
      </rPr>
      <t xml:space="preserve">CP-UVR-1601E1-IC2/
</t>
    </r>
    <r>
      <rPr>
        <sz val="11"/>
        <color rgb="FF040404"/>
        <rFont val="Calibri"/>
        <family val="1"/>
      </rPr>
      <t>CP-UVR-1601E1-IC</t>
    </r>
  </si>
  <si>
    <r>
      <rPr>
        <sz val="11"/>
        <rFont val="Calibri"/>
        <family val="1"/>
      </rPr>
      <t>1MP/2MP</t>
    </r>
  </si>
  <si>
    <r>
      <rPr>
        <sz val="11"/>
        <color rgb="FF040404"/>
        <rFont val="Calibri"/>
        <family val="1"/>
      </rPr>
      <t xml:space="preserve">CP-UVR-1601F1-HC /
</t>
    </r>
    <r>
      <rPr>
        <sz val="11"/>
        <color rgb="FF040404"/>
        <rFont val="Calibri"/>
        <family val="1"/>
      </rPr>
      <t>CP-UVR-1601F1-IC</t>
    </r>
  </si>
  <si>
    <r>
      <rPr>
        <sz val="11"/>
        <color rgb="FF040404"/>
        <rFont val="Calibri"/>
        <family val="1"/>
      </rPr>
      <t>CP-UVR-1601L1N-4KI-V2</t>
    </r>
  </si>
  <si>
    <r>
      <rPr>
        <sz val="11"/>
        <rFont val="Calibri"/>
        <family val="1"/>
      </rPr>
      <t>2MP/4MP/5MP</t>
    </r>
  </si>
  <si>
    <r>
      <rPr>
        <sz val="11"/>
        <color rgb="FF040404"/>
        <rFont val="Calibri"/>
        <family val="1"/>
      </rPr>
      <t>32CH</t>
    </r>
  </si>
  <si>
    <r>
      <rPr>
        <sz val="11"/>
        <color rgb="FF040404"/>
        <rFont val="Calibri"/>
        <family val="1"/>
      </rPr>
      <t>CP-UVR-3201E2-I</t>
    </r>
  </si>
  <si>
    <r>
      <rPr>
        <sz val="11"/>
        <color rgb="FF040404"/>
        <rFont val="Calibri"/>
        <family val="1"/>
      </rPr>
      <t>32Ch</t>
    </r>
  </si>
  <si>
    <r>
      <rPr>
        <sz val="11"/>
        <color rgb="FF040404"/>
        <rFont val="Calibri"/>
        <family val="1"/>
      </rPr>
      <t>CP-UVR-3201K2-I3-V2</t>
    </r>
  </si>
  <si>
    <r>
      <rPr>
        <b/>
        <sz val="11"/>
        <color rgb="FFFFFFFF"/>
        <rFont val="Calibri"/>
        <family val="1"/>
      </rPr>
      <t>Model without HDD</t>
    </r>
  </si>
  <si>
    <r>
      <rPr>
        <b/>
        <sz val="11"/>
        <color rgb="FFFFFFFF"/>
        <rFont val="Calibri"/>
        <family val="1"/>
      </rPr>
      <t>Compression</t>
    </r>
  </si>
  <si>
    <r>
      <rPr>
        <b/>
        <sz val="11"/>
        <color rgb="FFFFFFFF"/>
        <rFont val="Calibri"/>
        <family val="1"/>
      </rPr>
      <t>Resolution</t>
    </r>
  </si>
  <si>
    <r>
      <rPr>
        <b/>
        <sz val="11"/>
        <color rgb="FFFFFFFF"/>
        <rFont val="Calibri"/>
        <family val="1"/>
      </rPr>
      <t>HDD</t>
    </r>
  </si>
  <si>
    <r>
      <rPr>
        <b/>
        <sz val="11"/>
        <color rgb="FFFFFFFF"/>
        <rFont val="Calibri"/>
        <family val="1"/>
      </rPr>
      <t>Casing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</si>
</sst>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0"/>
      <color rgb="FF000000"/>
      <name val="Times New Roman"/>
      <charset val="204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FFFFFF"/>
      <name val="Calibri"/>
      <family val="1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Calibri"/>
      <family val="2"/>
    </font>
    <font>
      <b/>
      <sz val="14"/>
      <name val="Calibri"/>
      <family val="2"/>
    </font>
    <font>
      <b/>
      <sz val="14"/>
      <color rgb="FFE6E6E6"/>
      <name val="Calibri"/>
      <family val="1"/>
    </font>
    <font>
      <b/>
      <sz val="11"/>
      <color rgb="FFE6E6E6"/>
      <name val="Calibri"/>
      <family val="1"/>
    </font>
    <font>
      <b/>
      <sz val="12"/>
      <name val="Calibri"/>
      <family val="2"/>
      <scheme val="minor"/>
    </font>
    <font>
      <b/>
      <sz val="12"/>
      <color rgb="FFE6E6E6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1"/>
      <color rgb="FF010301"/>
      <name val="Calibri"/>
      <family val="1"/>
    </font>
    <font>
      <sz val="11"/>
      <color rgb="FF010301"/>
      <name val="Calibri"/>
      <family val="2"/>
    </font>
    <font>
      <sz val="11"/>
      <color rgb="FF040404"/>
      <name val="Calibri"/>
      <family val="1"/>
    </font>
    <font>
      <sz val="11"/>
      <color rgb="FF040404"/>
      <name val="Calibri"/>
      <family val="2"/>
    </font>
    <font>
      <sz val="11"/>
      <color rgb="FF221F1F"/>
      <name val="Calibri"/>
      <family val="1"/>
    </font>
    <font>
      <sz val="11"/>
      <color rgb="FF221F1F"/>
      <name val="Calibri"/>
      <family val="2"/>
    </font>
    <font>
      <sz val="12"/>
      <color rgb="FF000000"/>
      <name val="Times New Roman"/>
      <family val="1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theme="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2D75B5"/>
      <name val="Calibri"/>
      <family val="2"/>
      <scheme val="minor"/>
    </font>
    <font>
      <b/>
      <sz val="11"/>
      <name val="Calibri"/>
    </font>
    <font>
      <sz val="11"/>
      <name val="Calibri"/>
    </font>
    <font>
      <sz val="14"/>
      <color rgb="FF00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575757"/>
      </patternFill>
    </fill>
    <fill>
      <patternFill patternType="solid">
        <fgColor rgb="FFFD0000"/>
      </patternFill>
    </fill>
    <fill>
      <patternFill patternType="solid">
        <fgColor rgb="FFFFFFCC"/>
      </patternFill>
    </fill>
    <fill>
      <patternFill patternType="solid">
        <fgColor rgb="FFFFFF99"/>
      </patternFill>
    </fill>
    <fill>
      <patternFill patternType="solid">
        <fgColor rgb="FFFFFF00"/>
      </patternFill>
    </fill>
    <fill>
      <patternFill patternType="solid">
        <fgColor rgb="FF383838"/>
      </patternFill>
    </fill>
    <fill>
      <patternFill patternType="solid">
        <fgColor rgb="FF5B9AD4"/>
      </patternFill>
    </fill>
    <fill>
      <patternFill patternType="solid">
        <fgColor rgb="FF800080"/>
      </patternFill>
    </fill>
    <fill>
      <patternFill patternType="solid">
        <fgColor rgb="FFFF6600"/>
      </patternFill>
    </fill>
    <fill>
      <patternFill patternType="solid">
        <fgColor rgb="FF833B0C"/>
      </patternFill>
    </fill>
    <fill>
      <patternFill patternType="solid">
        <fgColor rgb="FF2D75B5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0000"/>
      </patternFill>
    </fill>
    <fill>
      <patternFill patternType="solid">
        <fgColor rgb="FFA8CF8E"/>
      </patternFill>
    </fill>
    <fill>
      <patternFill patternType="solid">
        <fgColor rgb="FF46D258"/>
      </patternFill>
    </fill>
    <fill>
      <patternFill patternType="solid">
        <fgColor rgb="FFFF0000"/>
      </patternFill>
    </fill>
    <fill>
      <patternFill patternType="solid">
        <fgColor rgb="FFF9E7D7"/>
      </patternFill>
    </fill>
    <fill>
      <patternFill patternType="solid">
        <fgColor rgb="FFF9E2D5"/>
      </patternFill>
    </fill>
    <fill>
      <patternFill patternType="solid">
        <fgColor rgb="FF3B7C21"/>
      </patternFill>
    </fill>
    <fill>
      <patternFill patternType="solid">
        <fgColor rgb="FFD51F25"/>
      </patternFill>
    </fill>
    <fill>
      <patternFill patternType="solid">
        <fgColor rgb="FFD6181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BABCC1"/>
      </left>
      <right style="thin">
        <color rgb="FFBABCC1"/>
      </right>
      <top style="thin">
        <color rgb="FFBABCC1"/>
      </top>
      <bottom style="thin">
        <color rgb="FFBABCC1"/>
      </bottom>
      <diagonal/>
    </border>
    <border>
      <left style="thin">
        <color rgb="FFBABCC1"/>
      </left>
      <right/>
      <top style="thin">
        <color rgb="FFBABCC1"/>
      </top>
      <bottom style="thin">
        <color rgb="FFBABCC1"/>
      </bottom>
      <diagonal/>
    </border>
    <border>
      <left/>
      <right/>
      <top style="thin">
        <color rgb="FFBABCC1"/>
      </top>
      <bottom style="thin">
        <color rgb="FFBABCC1"/>
      </bottom>
      <diagonal/>
    </border>
    <border>
      <left/>
      <right style="thin">
        <color rgb="FFBABCC1"/>
      </right>
      <top style="thin">
        <color rgb="FFBABCC1"/>
      </top>
      <bottom style="thin">
        <color rgb="FFBABCC1"/>
      </bottom>
      <diagonal/>
    </border>
  </borders>
  <cellStyleXfs count="1">
    <xf numFmtId="0" fontId="0" fillId="0" borderId="0"/>
  </cellStyleXfs>
  <cellXfs count="165">
    <xf numFmtId="0" fontId="0" fillId="0" borderId="0" xfId="0" applyFill="1" applyBorder="1" applyAlignment="1">
      <alignment horizontal="left" vertical="top"/>
    </xf>
    <xf numFmtId="0" fontId="0" fillId="16" borderId="8" xfId="0" applyFill="1" applyBorder="1" applyAlignment="1">
      <alignment horizontal="left" wrapText="1"/>
    </xf>
    <xf numFmtId="0" fontId="2" fillId="17" borderId="9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0" fillId="17" borderId="1" xfId="0" applyFill="1" applyBorder="1" applyAlignment="1">
      <alignment horizontal="left" wrapText="1"/>
    </xf>
    <xf numFmtId="0" fontId="5" fillId="17" borderId="10" xfId="0" applyFont="1" applyFill="1" applyBorder="1" applyAlignment="1">
      <alignment horizontal="left" vertical="top" wrapText="1"/>
    </xf>
    <xf numFmtId="0" fontId="8" fillId="16" borderId="8" xfId="0" applyFont="1" applyFill="1" applyBorder="1" applyAlignment="1">
      <alignment horizontal="left" vertical="top" wrapText="1"/>
    </xf>
    <xf numFmtId="0" fontId="2" fillId="16" borderId="8" xfId="0" applyFont="1" applyFill="1" applyBorder="1" applyAlignment="1">
      <alignment horizontal="left" vertical="top" wrapText="1"/>
    </xf>
    <xf numFmtId="0" fontId="2" fillId="16" borderId="1" xfId="0" applyFont="1" applyFill="1" applyBorder="1" applyAlignment="1">
      <alignment horizontal="left" vertical="top" wrapText="1"/>
    </xf>
    <xf numFmtId="0" fontId="0" fillId="16" borderId="1" xfId="0" applyFill="1" applyBorder="1" applyAlignment="1">
      <alignment horizontal="left" wrapText="1"/>
    </xf>
    <xf numFmtId="0" fontId="2" fillId="17" borderId="1" xfId="0" applyFont="1" applyFill="1" applyBorder="1" applyAlignment="1">
      <alignment horizontal="left" vertical="top" wrapText="1"/>
    </xf>
    <xf numFmtId="1" fontId="7" fillId="17" borderId="1" xfId="0" applyNumberFormat="1" applyFont="1" applyFill="1" applyBorder="1" applyAlignment="1">
      <alignment horizontal="right" vertical="top" shrinkToFit="1"/>
    </xf>
    <xf numFmtId="0" fontId="1" fillId="14" borderId="7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3" fillId="16" borderId="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left" vertical="top" wrapText="1"/>
    </xf>
    <xf numFmtId="1" fontId="14" fillId="17" borderId="2" xfId="0" applyNumberFormat="1" applyFont="1" applyFill="1" applyBorder="1" applyAlignment="1">
      <alignment vertical="top" shrinkToFit="1"/>
    </xf>
    <xf numFmtId="1" fontId="14" fillId="17" borderId="11" xfId="0" applyNumberFormat="1" applyFont="1" applyFill="1" applyBorder="1" applyAlignment="1">
      <alignment vertical="top" shrinkToFit="1"/>
    </xf>
    <xf numFmtId="1" fontId="14" fillId="16" borderId="12" xfId="0" applyNumberFormat="1" applyFont="1" applyFill="1" applyBorder="1" applyAlignment="1">
      <alignment wrapText="1"/>
    </xf>
    <xf numFmtId="1" fontId="15" fillId="17" borderId="5" xfId="0" applyNumberFormat="1" applyFont="1" applyFill="1" applyBorder="1" applyAlignment="1">
      <alignment vertical="top" wrapText="1"/>
    </xf>
    <xf numFmtId="1" fontId="15" fillId="16" borderId="12" xfId="0" applyNumberFormat="1" applyFont="1" applyFill="1" applyBorder="1" applyAlignment="1">
      <alignment vertical="top" wrapText="1"/>
    </xf>
    <xf numFmtId="1" fontId="14" fillId="0" borderId="2" xfId="0" applyNumberFormat="1" applyFont="1" applyFill="1" applyBorder="1" applyAlignment="1">
      <alignment wrapText="1"/>
    </xf>
    <xf numFmtId="1" fontId="15" fillId="17" borderId="2" xfId="0" applyNumberFormat="1" applyFont="1" applyFill="1" applyBorder="1" applyAlignment="1">
      <alignment vertical="top" wrapText="1"/>
    </xf>
    <xf numFmtId="0" fontId="0" fillId="0" borderId="7" xfId="0" applyFill="1" applyBorder="1" applyAlignment="1">
      <alignment horizontal="left" vertical="top"/>
    </xf>
    <xf numFmtId="0" fontId="2" fillId="18" borderId="1" xfId="0" applyFont="1" applyFill="1" applyBorder="1" applyAlignment="1">
      <alignment horizontal="left" vertical="top"/>
    </xf>
    <xf numFmtId="0" fontId="2" fillId="18" borderId="1" xfId="0" applyFont="1" applyFill="1" applyBorder="1" applyAlignment="1">
      <alignment horizontal="center" vertical="top"/>
    </xf>
    <xf numFmtId="0" fontId="2" fillId="19" borderId="2" xfId="0" applyFont="1" applyFill="1" applyBorder="1" applyAlignment="1">
      <alignment vertical="top"/>
    </xf>
    <xf numFmtId="0" fontId="2" fillId="19" borderId="3" xfId="0" applyFont="1" applyFill="1" applyBorder="1" applyAlignment="1">
      <alignment vertical="top"/>
    </xf>
    <xf numFmtId="0" fontId="2" fillId="19" borderId="4" xfId="0" applyFont="1" applyFill="1" applyBorder="1" applyAlignment="1">
      <alignment vertical="top"/>
    </xf>
    <xf numFmtId="0" fontId="5" fillId="20" borderId="1" xfId="0" applyFont="1" applyFill="1" applyBorder="1" applyAlignment="1">
      <alignment horizontal="left" vertical="top"/>
    </xf>
    <xf numFmtId="0" fontId="5" fillId="2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/>
    </xf>
    <xf numFmtId="0" fontId="5" fillId="21" borderId="1" xfId="0" applyFont="1" applyFill="1" applyBorder="1" applyAlignment="1">
      <alignment horizontal="center" vertical="top"/>
    </xf>
    <xf numFmtId="0" fontId="2" fillId="19" borderId="2" xfId="0" applyFont="1" applyFill="1" applyBorder="1" applyAlignment="1">
      <alignment horizontal="center" vertical="top"/>
    </xf>
    <xf numFmtId="0" fontId="2" fillId="19" borderId="3" xfId="0" applyFont="1" applyFill="1" applyBorder="1" applyAlignment="1">
      <alignment horizontal="center" vertical="top"/>
    </xf>
    <xf numFmtId="0" fontId="18" fillId="0" borderId="1" xfId="0" applyFont="1" applyFill="1" applyBorder="1" applyAlignment="1">
      <alignment horizontal="center" vertical="top"/>
    </xf>
    <xf numFmtId="0" fontId="0" fillId="14" borderId="0" xfId="0" applyFill="1" applyBorder="1" applyAlignment="1">
      <alignment horizontal="left" vertical="top"/>
    </xf>
    <xf numFmtId="1" fontId="17" fillId="20" borderId="2" xfId="0" applyNumberFormat="1" applyFont="1" applyFill="1" applyBorder="1" applyAlignment="1">
      <alignment horizontal="center" vertical="top" shrinkToFit="1"/>
    </xf>
    <xf numFmtId="1" fontId="17" fillId="0" borderId="2" xfId="0" applyNumberFormat="1" applyFont="1" applyFill="1" applyBorder="1" applyAlignment="1">
      <alignment horizontal="center" vertical="top" shrinkToFit="1"/>
    </xf>
    <xf numFmtId="1" fontId="19" fillId="0" borderId="2" xfId="0" applyNumberFormat="1" applyFont="1" applyFill="1" applyBorder="1" applyAlignment="1">
      <alignment horizontal="center" vertical="top" shrinkToFit="1"/>
    </xf>
    <xf numFmtId="1" fontId="19" fillId="20" borderId="2" xfId="0" applyNumberFormat="1" applyFont="1" applyFill="1" applyBorder="1" applyAlignment="1">
      <alignment horizontal="center" vertical="top" shrinkToFit="1"/>
    </xf>
    <xf numFmtId="1" fontId="21" fillId="0" borderId="2" xfId="0" applyNumberFormat="1" applyFont="1" applyFill="1" applyBorder="1" applyAlignment="1">
      <alignment horizontal="center" vertical="top" shrinkToFit="1"/>
    </xf>
    <xf numFmtId="0" fontId="22" fillId="0" borderId="7" xfId="0" applyFont="1" applyFill="1" applyBorder="1" applyAlignment="1">
      <alignment horizontal="left" vertical="top"/>
    </xf>
    <xf numFmtId="0" fontId="22" fillId="0" borderId="7" xfId="0" applyFont="1" applyFill="1" applyBorder="1" applyAlignment="1">
      <alignment horizontal="right" vertical="top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right" vertical="center"/>
    </xf>
    <xf numFmtId="0" fontId="14" fillId="0" borderId="7" xfId="0" applyFont="1" applyFill="1" applyBorder="1" applyAlignment="1">
      <alignment horizontal="left" vertical="center"/>
    </xf>
    <xf numFmtId="0" fontId="22" fillId="0" borderId="7" xfId="0" applyFont="1" applyFill="1" applyBorder="1" applyAlignment="1">
      <alignment horizontal="center" vertical="center"/>
    </xf>
    <xf numFmtId="0" fontId="24" fillId="13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13" borderId="7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vertical="center"/>
    </xf>
    <xf numFmtId="0" fontId="24" fillId="13" borderId="3" xfId="0" applyFont="1" applyFill="1" applyBorder="1" applyAlignment="1">
      <alignment vertical="center"/>
    </xf>
    <xf numFmtId="0" fontId="24" fillId="13" borderId="3" xfId="0" applyFont="1" applyFill="1" applyBorder="1" applyAlignment="1">
      <alignment horizontal="left" vertical="center"/>
    </xf>
    <xf numFmtId="0" fontId="24" fillId="0" borderId="2" xfId="0" applyFont="1" applyFill="1" applyBorder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left" vertical="center"/>
    </xf>
    <xf numFmtId="0" fontId="25" fillId="14" borderId="7" xfId="0" applyFont="1" applyFill="1" applyBorder="1" applyAlignment="1">
      <alignment horizontal="center" vertical="center"/>
    </xf>
    <xf numFmtId="0" fontId="25" fillId="14" borderId="7" xfId="0" applyFont="1" applyFill="1" applyBorder="1" applyAlignment="1">
      <alignment horizontal="left" vertical="center"/>
    </xf>
    <xf numFmtId="0" fontId="23" fillId="14" borderId="7" xfId="0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23" fillId="13" borderId="5" xfId="0" applyFont="1" applyFill="1" applyBorder="1" applyAlignment="1">
      <alignment vertical="center"/>
    </xf>
    <xf numFmtId="0" fontId="23" fillId="13" borderId="6" xfId="0" applyFont="1" applyFill="1" applyBorder="1" applyAlignment="1">
      <alignment vertical="center"/>
    </xf>
    <xf numFmtId="0" fontId="27" fillId="13" borderId="5" xfId="0" applyFont="1" applyFill="1" applyBorder="1" applyAlignment="1">
      <alignment horizontal="left" vertical="center"/>
    </xf>
    <xf numFmtId="1" fontId="24" fillId="4" borderId="1" xfId="0" applyNumberFormat="1" applyFont="1" applyFill="1" applyBorder="1" applyAlignment="1">
      <alignment horizontal="center" vertical="center" shrinkToFit="1"/>
    </xf>
    <xf numFmtId="0" fontId="25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left" vertical="center"/>
    </xf>
    <xf numFmtId="1" fontId="24" fillId="5" borderId="5" xfId="0" applyNumberFormat="1" applyFont="1" applyFill="1" applyBorder="1" applyAlignment="1">
      <alignment horizontal="center" vertical="center" shrinkToFit="1"/>
    </xf>
    <xf numFmtId="1" fontId="24" fillId="5" borderId="2" xfId="0" applyNumberFormat="1" applyFont="1" applyFill="1" applyBorder="1" applyAlignment="1">
      <alignment horizontal="center" vertical="center" shrinkToFit="1"/>
    </xf>
    <xf numFmtId="0" fontId="25" fillId="13" borderId="2" xfId="0" applyFont="1" applyFill="1" applyBorder="1" applyAlignment="1">
      <alignment vertical="center"/>
    </xf>
    <xf numFmtId="0" fontId="25" fillId="13" borderId="3" xfId="0" applyFont="1" applyFill="1" applyBorder="1" applyAlignment="1">
      <alignment vertical="center"/>
    </xf>
    <xf numFmtId="0" fontId="25" fillId="13" borderId="3" xfId="0" applyFont="1" applyFill="1" applyBorder="1" applyAlignment="1">
      <alignment horizontal="left" vertical="center"/>
    </xf>
    <xf numFmtId="1" fontId="24" fillId="0" borderId="1" xfId="0" applyNumberFormat="1" applyFont="1" applyFill="1" applyBorder="1" applyAlignment="1">
      <alignment horizontal="center" vertical="center" shrinkToFit="1"/>
    </xf>
    <xf numFmtId="0" fontId="25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/>
    </xf>
    <xf numFmtId="1" fontId="24" fillId="6" borderId="1" xfId="0" applyNumberFormat="1" applyFont="1" applyFill="1" applyBorder="1" applyAlignment="1">
      <alignment horizontal="center" vertical="center" shrinkToFit="1"/>
    </xf>
    <xf numFmtId="0" fontId="25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/>
    </xf>
    <xf numFmtId="1" fontId="24" fillId="6" borderId="2" xfId="0" applyNumberFormat="1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vertical="center"/>
    </xf>
    <xf numFmtId="0" fontId="28" fillId="7" borderId="3" xfId="0" applyFont="1" applyFill="1" applyBorder="1" applyAlignment="1">
      <alignment vertical="center"/>
    </xf>
    <xf numFmtId="0" fontId="28" fillId="7" borderId="3" xfId="0" applyFont="1" applyFill="1" applyBorder="1" applyAlignment="1">
      <alignment horizontal="left" vertical="center"/>
    </xf>
    <xf numFmtId="0" fontId="28" fillId="8" borderId="1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left" vertical="center"/>
    </xf>
    <xf numFmtId="0" fontId="28" fillId="13" borderId="2" xfId="0" applyFont="1" applyFill="1" applyBorder="1" applyAlignment="1">
      <alignment vertical="center"/>
    </xf>
    <xf numFmtId="0" fontId="28" fillId="13" borderId="3" xfId="0" applyFont="1" applyFill="1" applyBorder="1" applyAlignment="1">
      <alignment vertical="center"/>
    </xf>
    <xf numFmtId="0" fontId="28" fillId="13" borderId="3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left" vertical="center"/>
    </xf>
    <xf numFmtId="0" fontId="25" fillId="10" borderId="2" xfId="0" applyFont="1" applyFill="1" applyBorder="1" applyAlignment="1">
      <alignment vertical="center"/>
    </xf>
    <xf numFmtId="0" fontId="25" fillId="10" borderId="3" xfId="0" applyFont="1" applyFill="1" applyBorder="1" applyAlignment="1">
      <alignment vertical="center"/>
    </xf>
    <xf numFmtId="0" fontId="25" fillId="10" borderId="3" xfId="0" applyFont="1" applyFill="1" applyBorder="1" applyAlignment="1">
      <alignment horizontal="left" vertical="center"/>
    </xf>
    <xf numFmtId="0" fontId="28" fillId="11" borderId="1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left" vertical="center"/>
    </xf>
    <xf numFmtId="0" fontId="25" fillId="12" borderId="2" xfId="0" applyFont="1" applyFill="1" applyBorder="1" applyAlignment="1">
      <alignment vertical="center"/>
    </xf>
    <xf numFmtId="0" fontId="25" fillId="12" borderId="3" xfId="0" applyFont="1" applyFill="1" applyBorder="1" applyAlignment="1">
      <alignment vertical="center"/>
    </xf>
    <xf numFmtId="0" fontId="25" fillId="12" borderId="3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left" vertical="center"/>
    </xf>
    <xf numFmtId="0" fontId="25" fillId="2" borderId="2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0" fontId="25" fillId="2" borderId="3" xfId="0" applyFont="1" applyFill="1" applyBorder="1" applyAlignment="1">
      <alignment horizontal="left" vertical="center"/>
    </xf>
    <xf numFmtId="0" fontId="27" fillId="13" borderId="2" xfId="0" applyFont="1" applyFill="1" applyBorder="1" applyAlignment="1">
      <alignment vertical="center"/>
    </xf>
    <xf numFmtId="0" fontId="27" fillId="13" borderId="3" xfId="0" applyFont="1" applyFill="1" applyBorder="1" applyAlignment="1">
      <alignment vertical="center"/>
    </xf>
    <xf numFmtId="0" fontId="27" fillId="13" borderId="3" xfId="0" applyFont="1" applyFill="1" applyBorder="1" applyAlignment="1">
      <alignment horizontal="left" vertical="center"/>
    </xf>
    <xf numFmtId="0" fontId="28" fillId="3" borderId="2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1" fontId="24" fillId="0" borderId="2" xfId="0" applyNumberFormat="1" applyFont="1" applyFill="1" applyBorder="1" applyAlignment="1">
      <alignment horizontal="center" vertical="center" shrinkToFit="1"/>
    </xf>
    <xf numFmtId="0" fontId="23" fillId="13" borderId="7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left" vertical="top" wrapText="1"/>
    </xf>
    <xf numFmtId="0" fontId="5" fillId="17" borderId="4" xfId="0" applyFont="1" applyFill="1" applyBorder="1" applyAlignment="1">
      <alignment horizontal="left" vertical="top" wrapText="1"/>
    </xf>
    <xf numFmtId="0" fontId="5" fillId="20" borderId="12" xfId="0" applyFont="1" applyFill="1" applyBorder="1" applyAlignment="1">
      <alignment horizontal="center" vertical="top"/>
    </xf>
    <xf numFmtId="0" fontId="5" fillId="20" borderId="13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0" fontId="5" fillId="0" borderId="14" xfId="0" applyFont="1" applyFill="1" applyBorder="1" applyAlignment="1">
      <alignment horizontal="center" vertical="top"/>
    </xf>
    <xf numFmtId="0" fontId="1" fillId="15" borderId="15" xfId="0" applyFont="1" applyFill="1" applyBorder="1" applyAlignment="1">
      <alignment horizontal="center" vertical="center" wrapText="1"/>
    </xf>
    <xf numFmtId="0" fontId="1" fillId="15" borderId="0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top"/>
    </xf>
    <xf numFmtId="0" fontId="5" fillId="0" borderId="13" xfId="0" applyFont="1" applyFill="1" applyBorder="1" applyAlignment="1">
      <alignment horizontal="center" vertical="top"/>
    </xf>
    <xf numFmtId="0" fontId="2" fillId="19" borderId="0" xfId="0" applyFont="1" applyFill="1" applyBorder="1" applyAlignment="1">
      <alignment horizontal="center" vertical="top"/>
    </xf>
    <xf numFmtId="0" fontId="31" fillId="22" borderId="17" xfId="0" applyFont="1" applyFill="1" applyBorder="1" applyAlignment="1">
      <alignment horizontal="center" vertical="top" wrapText="1"/>
    </xf>
    <xf numFmtId="0" fontId="31" fillId="23" borderId="18" xfId="0" applyFont="1" applyFill="1" applyBorder="1" applyAlignment="1">
      <alignment horizontal="center" vertical="top" wrapText="1"/>
    </xf>
    <xf numFmtId="0" fontId="31" fillId="23" borderId="19" xfId="0" applyFont="1" applyFill="1" applyBorder="1" applyAlignment="1">
      <alignment horizontal="center" vertical="top" wrapText="1"/>
    </xf>
    <xf numFmtId="0" fontId="32" fillId="0" borderId="17" xfId="0" applyFont="1" applyFill="1" applyBorder="1" applyAlignment="1">
      <alignment horizontal="center" vertical="top" wrapText="1"/>
    </xf>
    <xf numFmtId="0" fontId="32" fillId="0" borderId="17" xfId="0" applyFont="1" applyFill="1" applyBorder="1" applyAlignment="1">
      <alignment horizontal="left" vertical="top" wrapText="1"/>
    </xf>
    <xf numFmtId="0" fontId="32" fillId="20" borderId="17" xfId="0" applyFont="1" applyFill="1" applyBorder="1" applyAlignment="1">
      <alignment horizontal="center" vertical="top" wrapText="1"/>
    </xf>
    <xf numFmtId="0" fontId="32" fillId="20" borderId="17" xfId="0" applyFont="1" applyFill="1" applyBorder="1" applyAlignment="1">
      <alignment horizontal="left" vertical="top" wrapText="1"/>
    </xf>
    <xf numFmtId="0" fontId="31" fillId="24" borderId="18" xfId="0" applyFont="1" applyFill="1" applyBorder="1" applyAlignment="1">
      <alignment horizontal="center" vertical="top" wrapText="1"/>
    </xf>
    <xf numFmtId="0" fontId="31" fillId="24" borderId="19" xfId="0" applyFont="1" applyFill="1" applyBorder="1" applyAlignment="1">
      <alignment horizontal="center" vertical="top" wrapText="1"/>
    </xf>
    <xf numFmtId="0" fontId="0" fillId="20" borderId="17" xfId="0" applyFill="1" applyBorder="1" applyAlignment="1">
      <alignment horizontal="left" vertical="top" wrapText="1"/>
    </xf>
    <xf numFmtId="1" fontId="19" fillId="20" borderId="17" xfId="0" applyNumberFormat="1" applyFont="1" applyFill="1" applyBorder="1" applyAlignment="1">
      <alignment horizontal="center" vertical="top" shrinkToFit="1"/>
    </xf>
    <xf numFmtId="1" fontId="19" fillId="0" borderId="17" xfId="0" applyNumberFormat="1" applyFont="1" applyFill="1" applyBorder="1" applyAlignment="1">
      <alignment horizontal="center" vertical="top" shrinkToFit="1"/>
    </xf>
    <xf numFmtId="0" fontId="0" fillId="0" borderId="17" xfId="0" applyFill="1" applyBorder="1" applyAlignment="1">
      <alignment horizontal="left" vertical="top" wrapText="1"/>
    </xf>
    <xf numFmtId="0" fontId="31" fillId="22" borderId="17" xfId="0" applyFont="1" applyFill="1" applyBorder="1" applyAlignment="1">
      <alignment horizontal="left" vertical="top" wrapText="1" indent="2"/>
    </xf>
    <xf numFmtId="0" fontId="31" fillId="22" borderId="18" xfId="0" applyFont="1" applyFill="1" applyBorder="1" applyAlignment="1">
      <alignment horizontal="center" vertical="top" wrapText="1"/>
    </xf>
    <xf numFmtId="0" fontId="31" fillId="22" borderId="20" xfId="0" applyFont="1" applyFill="1" applyBorder="1" applyAlignment="1">
      <alignment horizontal="center" vertical="top" wrapText="1"/>
    </xf>
    <xf numFmtId="1" fontId="17" fillId="0" borderId="18" xfId="0" applyNumberFormat="1" applyFont="1" applyFill="1" applyBorder="1" applyAlignment="1">
      <alignment horizontal="center" vertical="top" shrinkToFit="1"/>
    </xf>
    <xf numFmtId="1" fontId="17" fillId="20" borderId="18" xfId="0" applyNumberFormat="1" applyFont="1" applyFill="1" applyBorder="1" applyAlignment="1">
      <alignment horizontal="center" vertical="top" shrinkToFit="1"/>
    </xf>
    <xf numFmtId="1" fontId="19" fillId="20" borderId="18" xfId="0" applyNumberFormat="1" applyFont="1" applyFill="1" applyBorder="1" applyAlignment="1">
      <alignment horizontal="center" vertical="top" shrinkToFit="1"/>
    </xf>
    <xf numFmtId="1" fontId="19" fillId="0" borderId="18" xfId="0" applyNumberFormat="1" applyFont="1" applyFill="1" applyBorder="1" applyAlignment="1">
      <alignment horizontal="center" vertical="top" shrinkToFit="1"/>
    </xf>
    <xf numFmtId="1" fontId="7" fillId="0" borderId="18" xfId="0" applyNumberFormat="1" applyFont="1" applyFill="1" applyBorder="1" applyAlignment="1">
      <alignment horizontal="center" vertical="top" shrinkToFit="1"/>
    </xf>
    <xf numFmtId="0" fontId="0" fillId="0" borderId="7" xfId="0" applyFill="1" applyBorder="1" applyAlignment="1">
      <alignment horizontal="right" vertical="center"/>
    </xf>
    <xf numFmtId="0" fontId="22" fillId="0" borderId="7" xfId="0" applyFont="1" applyFill="1" applyBorder="1" applyAlignment="1">
      <alignment horizontal="right" vertical="center"/>
    </xf>
    <xf numFmtId="0" fontId="33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N10" sqref="N10"/>
    </sheetView>
  </sheetViews>
  <sheetFormatPr defaultRowHeight="15.75"/>
  <cols>
    <col min="1" max="1" width="5.5" style="52" customWidth="1"/>
    <col min="2" max="2" width="26" style="52" bestFit="1" customWidth="1"/>
    <col min="3" max="3" width="11.5" style="52" customWidth="1"/>
    <col min="4" max="4" width="13" style="52" bestFit="1" customWidth="1"/>
    <col min="5" max="5" width="111.6640625" style="66" customWidth="1"/>
    <col min="6" max="6" width="7.1640625" style="52" bestFit="1" customWidth="1"/>
    <col min="7" max="7" width="6" style="52" bestFit="1" customWidth="1"/>
    <col min="8" max="8" width="18.1640625" style="52" customWidth="1"/>
    <col min="9" max="9" width="6.6640625" style="52" customWidth="1"/>
    <col min="10" max="10" width="20.1640625" style="52" customWidth="1"/>
    <col min="11" max="11" width="14.5" style="52" customWidth="1"/>
    <col min="12" max="12" width="14.6640625" style="52" customWidth="1"/>
    <col min="13" max="16384" width="9.33203125" style="52"/>
  </cols>
  <sheetData>
    <row r="1" spans="1:12" ht="47.25">
      <c r="A1" s="67" t="s">
        <v>440</v>
      </c>
      <c r="B1" s="67" t="s">
        <v>441</v>
      </c>
      <c r="C1" s="67" t="s">
        <v>442</v>
      </c>
      <c r="D1" s="67" t="s">
        <v>443</v>
      </c>
      <c r="E1" s="68" t="s">
        <v>444</v>
      </c>
      <c r="F1" s="69" t="s">
        <v>6</v>
      </c>
      <c r="G1" s="69" t="s">
        <v>1</v>
      </c>
      <c r="H1" s="69" t="s">
        <v>3</v>
      </c>
      <c r="I1" s="69" t="s">
        <v>2</v>
      </c>
      <c r="J1" s="70" t="s">
        <v>4</v>
      </c>
      <c r="K1" s="70" t="s">
        <v>7</v>
      </c>
      <c r="L1" s="70" t="s">
        <v>8</v>
      </c>
    </row>
    <row r="2" spans="1:12">
      <c r="A2" s="71" t="s">
        <v>217</v>
      </c>
      <c r="B2" s="72"/>
      <c r="C2" s="72"/>
      <c r="D2" s="72"/>
      <c r="E2" s="73"/>
      <c r="F2" s="125" t="s">
        <v>5</v>
      </c>
      <c r="G2" s="125"/>
      <c r="H2" s="125"/>
      <c r="I2" s="125"/>
      <c r="J2" s="125"/>
      <c r="K2" s="51"/>
      <c r="L2" s="51"/>
    </row>
    <row r="3" spans="1:12">
      <c r="A3" s="74">
        <v>1</v>
      </c>
      <c r="B3" s="75" t="s">
        <v>218</v>
      </c>
      <c r="C3" s="76" t="s">
        <v>219</v>
      </c>
      <c r="D3" s="75" t="s">
        <v>220</v>
      </c>
      <c r="E3" s="77" t="s">
        <v>221</v>
      </c>
      <c r="F3" s="78">
        <v>670</v>
      </c>
      <c r="G3" s="53">
        <v>5</v>
      </c>
      <c r="H3" s="53">
        <f>F3-(F3*G3/100)</f>
        <v>636.5</v>
      </c>
      <c r="I3" s="53">
        <v>4</v>
      </c>
      <c r="J3" s="53">
        <f>H3+(H3*I3/100)</f>
        <v>661.96</v>
      </c>
      <c r="K3" s="53"/>
      <c r="L3" s="53">
        <f>J3*K3</f>
        <v>0</v>
      </c>
    </row>
    <row r="4" spans="1:12">
      <c r="A4" s="74">
        <v>2</v>
      </c>
      <c r="B4" s="75" t="s">
        <v>222</v>
      </c>
      <c r="C4" s="76" t="s">
        <v>223</v>
      </c>
      <c r="D4" s="75" t="s">
        <v>220</v>
      </c>
      <c r="E4" s="77" t="s">
        <v>221</v>
      </c>
      <c r="F4" s="79">
        <v>730</v>
      </c>
      <c r="G4" s="53">
        <v>5</v>
      </c>
      <c r="H4" s="53">
        <f t="shared" ref="H4:H67" si="0">F4-(F4*G4/100)</f>
        <v>693.5</v>
      </c>
      <c r="I4" s="53">
        <v>4</v>
      </c>
      <c r="J4" s="53">
        <f t="shared" ref="J4:J67" si="1">H4+(H4*I4/100)</f>
        <v>721.24</v>
      </c>
      <c r="K4" s="53"/>
      <c r="L4" s="53">
        <f t="shared" ref="L4:L67" si="2">J4*K4</f>
        <v>0</v>
      </c>
    </row>
    <row r="5" spans="1:12">
      <c r="A5" s="80" t="s">
        <v>445</v>
      </c>
      <c r="B5" s="81"/>
      <c r="C5" s="81"/>
      <c r="D5" s="81"/>
      <c r="E5" s="82"/>
      <c r="F5" s="81"/>
      <c r="G5" s="54"/>
      <c r="H5" s="54">
        <f t="shared" si="0"/>
        <v>0</v>
      </c>
      <c r="I5" s="54">
        <v>0</v>
      </c>
      <c r="J5" s="54">
        <f t="shared" si="1"/>
        <v>0</v>
      </c>
      <c r="K5" s="54"/>
      <c r="L5" s="54">
        <f t="shared" si="2"/>
        <v>0</v>
      </c>
    </row>
    <row r="6" spans="1:12">
      <c r="A6" s="83">
        <v>1</v>
      </c>
      <c r="B6" s="84" t="s">
        <v>224</v>
      </c>
      <c r="C6" s="85" t="s">
        <v>219</v>
      </c>
      <c r="D6" s="84" t="s">
        <v>220</v>
      </c>
      <c r="E6" s="86" t="s">
        <v>225</v>
      </c>
      <c r="F6" s="79">
        <v>800</v>
      </c>
      <c r="G6" s="53">
        <v>5</v>
      </c>
      <c r="H6" s="53">
        <f t="shared" si="0"/>
        <v>760</v>
      </c>
      <c r="I6" s="53">
        <v>4</v>
      </c>
      <c r="J6" s="53">
        <f t="shared" si="1"/>
        <v>790.4</v>
      </c>
      <c r="K6" s="53"/>
      <c r="L6" s="53">
        <f t="shared" si="2"/>
        <v>0</v>
      </c>
    </row>
    <row r="7" spans="1:12">
      <c r="A7" s="83">
        <v>2</v>
      </c>
      <c r="B7" s="84" t="s">
        <v>226</v>
      </c>
      <c r="C7" s="85" t="s">
        <v>223</v>
      </c>
      <c r="D7" s="84" t="s">
        <v>220</v>
      </c>
      <c r="E7" s="86" t="s">
        <v>225</v>
      </c>
      <c r="F7" s="79">
        <v>890</v>
      </c>
      <c r="G7" s="53">
        <v>5</v>
      </c>
      <c r="H7" s="53">
        <f t="shared" si="0"/>
        <v>845.5</v>
      </c>
      <c r="I7" s="53">
        <v>4</v>
      </c>
      <c r="J7" s="53">
        <f t="shared" si="1"/>
        <v>879.32</v>
      </c>
      <c r="K7" s="53"/>
      <c r="L7" s="53">
        <f t="shared" si="2"/>
        <v>0</v>
      </c>
    </row>
    <row r="8" spans="1:12">
      <c r="A8" s="83">
        <v>3</v>
      </c>
      <c r="B8" s="84" t="s">
        <v>227</v>
      </c>
      <c r="C8" s="85" t="s">
        <v>223</v>
      </c>
      <c r="D8" s="84" t="s">
        <v>220</v>
      </c>
      <c r="E8" s="86" t="s">
        <v>228</v>
      </c>
      <c r="F8" s="79">
        <v>1540</v>
      </c>
      <c r="G8" s="53">
        <v>5</v>
      </c>
      <c r="H8" s="53">
        <f t="shared" si="0"/>
        <v>1463</v>
      </c>
      <c r="I8" s="53">
        <v>4</v>
      </c>
      <c r="J8" s="53">
        <f t="shared" si="1"/>
        <v>1521.52</v>
      </c>
      <c r="K8" s="53"/>
      <c r="L8" s="53">
        <f t="shared" si="2"/>
        <v>0</v>
      </c>
    </row>
    <row r="9" spans="1:12">
      <c r="A9" s="83">
        <v>4</v>
      </c>
      <c r="B9" s="84" t="s">
        <v>229</v>
      </c>
      <c r="C9" s="85" t="s">
        <v>223</v>
      </c>
      <c r="D9" s="84" t="s">
        <v>220</v>
      </c>
      <c r="E9" s="86" t="s">
        <v>230</v>
      </c>
      <c r="F9" s="79">
        <v>1740</v>
      </c>
      <c r="G9" s="53">
        <v>5</v>
      </c>
      <c r="H9" s="53">
        <f t="shared" si="0"/>
        <v>1653</v>
      </c>
      <c r="I9" s="53">
        <v>4</v>
      </c>
      <c r="J9" s="53">
        <f t="shared" si="1"/>
        <v>1719.12</v>
      </c>
      <c r="K9" s="53"/>
      <c r="L9" s="53">
        <f t="shared" si="2"/>
        <v>0</v>
      </c>
    </row>
    <row r="10" spans="1:12">
      <c r="A10" s="83">
        <v>5</v>
      </c>
      <c r="B10" s="84" t="s">
        <v>231</v>
      </c>
      <c r="C10" s="85" t="s">
        <v>223</v>
      </c>
      <c r="D10" s="84" t="s">
        <v>220</v>
      </c>
      <c r="E10" s="86" t="s">
        <v>232</v>
      </c>
      <c r="F10" s="79">
        <v>1940</v>
      </c>
      <c r="G10" s="53">
        <v>5</v>
      </c>
      <c r="H10" s="53">
        <f t="shared" si="0"/>
        <v>1843</v>
      </c>
      <c r="I10" s="53">
        <v>4</v>
      </c>
      <c r="J10" s="53">
        <f t="shared" si="1"/>
        <v>1916.72</v>
      </c>
      <c r="K10" s="53"/>
      <c r="L10" s="53">
        <f t="shared" si="2"/>
        <v>0</v>
      </c>
    </row>
    <row r="11" spans="1:12">
      <c r="A11" s="83">
        <v>6</v>
      </c>
      <c r="B11" s="84" t="s">
        <v>233</v>
      </c>
      <c r="C11" s="85" t="s">
        <v>219</v>
      </c>
      <c r="D11" s="84" t="s">
        <v>220</v>
      </c>
      <c r="E11" s="86" t="s">
        <v>234</v>
      </c>
      <c r="F11" s="79">
        <v>1390</v>
      </c>
      <c r="G11" s="53">
        <v>5</v>
      </c>
      <c r="H11" s="53">
        <f t="shared" si="0"/>
        <v>1320.5</v>
      </c>
      <c r="I11" s="53">
        <v>4</v>
      </c>
      <c r="J11" s="53">
        <f t="shared" si="1"/>
        <v>1373.32</v>
      </c>
      <c r="K11" s="53"/>
      <c r="L11" s="53">
        <f t="shared" si="2"/>
        <v>0</v>
      </c>
    </row>
    <row r="12" spans="1:12">
      <c r="A12" s="83">
        <v>7</v>
      </c>
      <c r="B12" s="84" t="s">
        <v>235</v>
      </c>
      <c r="C12" s="85" t="s">
        <v>223</v>
      </c>
      <c r="D12" s="84" t="s">
        <v>220</v>
      </c>
      <c r="E12" s="86" t="s">
        <v>234</v>
      </c>
      <c r="F12" s="79">
        <v>1420</v>
      </c>
      <c r="G12" s="53">
        <v>5</v>
      </c>
      <c r="H12" s="53">
        <f t="shared" si="0"/>
        <v>1349</v>
      </c>
      <c r="I12" s="53">
        <v>4</v>
      </c>
      <c r="J12" s="53">
        <f t="shared" si="1"/>
        <v>1402.96</v>
      </c>
      <c r="K12" s="53"/>
      <c r="L12" s="53">
        <f t="shared" si="2"/>
        <v>0</v>
      </c>
    </row>
    <row r="13" spans="1:12">
      <c r="A13" s="83">
        <v>8</v>
      </c>
      <c r="B13" s="84" t="s">
        <v>236</v>
      </c>
      <c r="C13" s="85" t="s">
        <v>237</v>
      </c>
      <c r="D13" s="84" t="s">
        <v>220</v>
      </c>
      <c r="E13" s="86" t="s">
        <v>238</v>
      </c>
      <c r="F13" s="79">
        <v>3430</v>
      </c>
      <c r="G13" s="53">
        <v>5</v>
      </c>
      <c r="H13" s="53">
        <f t="shared" si="0"/>
        <v>3258.5</v>
      </c>
      <c r="I13" s="53">
        <v>4</v>
      </c>
      <c r="J13" s="53">
        <f t="shared" si="1"/>
        <v>3388.84</v>
      </c>
      <c r="K13" s="53"/>
      <c r="L13" s="53">
        <f t="shared" si="2"/>
        <v>0</v>
      </c>
    </row>
    <row r="14" spans="1:12">
      <c r="A14" s="83">
        <v>9</v>
      </c>
      <c r="B14" s="84" t="s">
        <v>239</v>
      </c>
      <c r="C14" s="85" t="s">
        <v>240</v>
      </c>
      <c r="D14" s="84" t="s">
        <v>220</v>
      </c>
      <c r="E14" s="86" t="s">
        <v>238</v>
      </c>
      <c r="F14" s="79">
        <v>3430</v>
      </c>
      <c r="G14" s="53">
        <v>5</v>
      </c>
      <c r="H14" s="53">
        <f t="shared" si="0"/>
        <v>3258.5</v>
      </c>
      <c r="I14" s="53">
        <v>4</v>
      </c>
      <c r="J14" s="53">
        <f t="shared" si="1"/>
        <v>3388.84</v>
      </c>
      <c r="K14" s="53"/>
      <c r="L14" s="53">
        <f t="shared" si="2"/>
        <v>0</v>
      </c>
    </row>
    <row r="15" spans="1:12">
      <c r="A15" s="80" t="s">
        <v>446</v>
      </c>
      <c r="B15" s="81"/>
      <c r="C15" s="81"/>
      <c r="D15" s="81"/>
      <c r="E15" s="82"/>
      <c r="F15" s="81"/>
      <c r="G15" s="54"/>
      <c r="H15" s="54">
        <f t="shared" si="0"/>
        <v>0</v>
      </c>
      <c r="I15" s="54">
        <v>0</v>
      </c>
      <c r="J15" s="54">
        <f t="shared" si="1"/>
        <v>0</v>
      </c>
      <c r="K15" s="54"/>
      <c r="L15" s="54">
        <f t="shared" si="2"/>
        <v>0</v>
      </c>
    </row>
    <row r="16" spans="1:12">
      <c r="A16" s="83">
        <v>1</v>
      </c>
      <c r="B16" s="84" t="s">
        <v>241</v>
      </c>
      <c r="C16" s="85" t="s">
        <v>219</v>
      </c>
      <c r="D16" s="84" t="s">
        <v>242</v>
      </c>
      <c r="E16" s="86" t="s">
        <v>243</v>
      </c>
      <c r="F16" s="79">
        <v>1240</v>
      </c>
      <c r="G16" s="53">
        <v>5</v>
      </c>
      <c r="H16" s="53">
        <f t="shared" si="0"/>
        <v>1178</v>
      </c>
      <c r="I16" s="53">
        <v>4</v>
      </c>
      <c r="J16" s="53">
        <f t="shared" si="1"/>
        <v>1225.1199999999999</v>
      </c>
      <c r="K16" s="53"/>
      <c r="L16" s="53">
        <f t="shared" si="2"/>
        <v>0</v>
      </c>
    </row>
    <row r="17" spans="1:12">
      <c r="A17" s="83">
        <v>2</v>
      </c>
      <c r="B17" s="84" t="s">
        <v>244</v>
      </c>
      <c r="C17" s="85" t="s">
        <v>223</v>
      </c>
      <c r="D17" s="84" t="s">
        <v>242</v>
      </c>
      <c r="E17" s="86" t="s">
        <v>243</v>
      </c>
      <c r="F17" s="79">
        <v>1310</v>
      </c>
      <c r="G17" s="53">
        <v>5</v>
      </c>
      <c r="H17" s="53">
        <f t="shared" si="0"/>
        <v>1244.5</v>
      </c>
      <c r="I17" s="53">
        <v>4</v>
      </c>
      <c r="J17" s="53">
        <f t="shared" si="1"/>
        <v>1294.28</v>
      </c>
      <c r="K17" s="53"/>
      <c r="L17" s="53">
        <f t="shared" si="2"/>
        <v>0</v>
      </c>
    </row>
    <row r="18" spans="1:12">
      <c r="A18" s="83">
        <v>3</v>
      </c>
      <c r="B18" s="84" t="s">
        <v>245</v>
      </c>
      <c r="C18" s="85" t="s">
        <v>223</v>
      </c>
      <c r="D18" s="84" t="s">
        <v>242</v>
      </c>
      <c r="E18" s="86" t="s">
        <v>246</v>
      </c>
      <c r="F18" s="79">
        <v>1840</v>
      </c>
      <c r="G18" s="53">
        <v>5</v>
      </c>
      <c r="H18" s="53">
        <f t="shared" si="0"/>
        <v>1748</v>
      </c>
      <c r="I18" s="53">
        <v>4</v>
      </c>
      <c r="J18" s="53">
        <f t="shared" si="1"/>
        <v>1817.92</v>
      </c>
      <c r="K18" s="53"/>
      <c r="L18" s="53">
        <f t="shared" si="2"/>
        <v>0</v>
      </c>
    </row>
    <row r="19" spans="1:12">
      <c r="A19" s="83">
        <v>4</v>
      </c>
      <c r="B19" s="84" t="s">
        <v>247</v>
      </c>
      <c r="C19" s="85" t="s">
        <v>223</v>
      </c>
      <c r="D19" s="84" t="s">
        <v>242</v>
      </c>
      <c r="E19" s="86" t="s">
        <v>248</v>
      </c>
      <c r="F19" s="79">
        <v>2040</v>
      </c>
      <c r="G19" s="53">
        <v>5</v>
      </c>
      <c r="H19" s="53">
        <f t="shared" si="0"/>
        <v>1938</v>
      </c>
      <c r="I19" s="53">
        <v>4</v>
      </c>
      <c r="J19" s="53">
        <f t="shared" si="1"/>
        <v>2015.52</v>
      </c>
      <c r="K19" s="53"/>
      <c r="L19" s="53">
        <f t="shared" si="2"/>
        <v>0</v>
      </c>
    </row>
    <row r="20" spans="1:12">
      <c r="A20" s="83">
        <v>5</v>
      </c>
      <c r="B20" s="84" t="s">
        <v>249</v>
      </c>
      <c r="C20" s="85" t="s">
        <v>219</v>
      </c>
      <c r="D20" s="84" t="s">
        <v>250</v>
      </c>
      <c r="E20" s="86" t="s">
        <v>251</v>
      </c>
      <c r="F20" s="79">
        <v>1930</v>
      </c>
      <c r="G20" s="53">
        <v>5</v>
      </c>
      <c r="H20" s="53">
        <f t="shared" si="0"/>
        <v>1833.5</v>
      </c>
      <c r="I20" s="53">
        <v>4</v>
      </c>
      <c r="J20" s="53">
        <f t="shared" si="1"/>
        <v>1906.84</v>
      </c>
      <c r="K20" s="53"/>
      <c r="L20" s="53">
        <f t="shared" si="2"/>
        <v>0</v>
      </c>
    </row>
    <row r="21" spans="1:12">
      <c r="A21" s="83">
        <v>6</v>
      </c>
      <c r="B21" s="84" t="s">
        <v>252</v>
      </c>
      <c r="C21" s="85" t="s">
        <v>223</v>
      </c>
      <c r="D21" s="84" t="s">
        <v>250</v>
      </c>
      <c r="E21" s="86" t="s">
        <v>251</v>
      </c>
      <c r="F21" s="79">
        <v>1930</v>
      </c>
      <c r="G21" s="53">
        <v>5</v>
      </c>
      <c r="H21" s="53">
        <f t="shared" si="0"/>
        <v>1833.5</v>
      </c>
      <c r="I21" s="53">
        <v>4</v>
      </c>
      <c r="J21" s="53">
        <f t="shared" si="1"/>
        <v>1906.84</v>
      </c>
      <c r="K21" s="53"/>
      <c r="L21" s="53">
        <f t="shared" si="2"/>
        <v>0</v>
      </c>
    </row>
    <row r="22" spans="1:12">
      <c r="A22" s="55" t="s">
        <v>447</v>
      </c>
      <c r="B22" s="56"/>
      <c r="C22" s="56"/>
      <c r="D22" s="56"/>
      <c r="E22" s="57"/>
      <c r="F22" s="56"/>
      <c r="G22" s="54"/>
      <c r="H22" s="54">
        <f t="shared" si="0"/>
        <v>0</v>
      </c>
      <c r="I22" s="54">
        <v>0</v>
      </c>
      <c r="J22" s="54">
        <f t="shared" si="1"/>
        <v>0</v>
      </c>
      <c r="K22" s="54"/>
      <c r="L22" s="54">
        <f t="shared" si="2"/>
        <v>0</v>
      </c>
    </row>
    <row r="23" spans="1:12">
      <c r="A23" s="83">
        <v>1</v>
      </c>
      <c r="B23" s="84" t="s">
        <v>253</v>
      </c>
      <c r="C23" s="85" t="s">
        <v>219</v>
      </c>
      <c r="D23" s="84" t="s">
        <v>254</v>
      </c>
      <c r="E23" s="86" t="s">
        <v>255</v>
      </c>
      <c r="F23" s="79">
        <v>1640</v>
      </c>
      <c r="G23" s="53">
        <v>5</v>
      </c>
      <c r="H23" s="53">
        <f t="shared" si="0"/>
        <v>1558</v>
      </c>
      <c r="I23" s="53">
        <v>4</v>
      </c>
      <c r="J23" s="53">
        <f t="shared" si="1"/>
        <v>1620.32</v>
      </c>
      <c r="K23" s="53"/>
      <c r="L23" s="53">
        <f t="shared" si="2"/>
        <v>0</v>
      </c>
    </row>
    <row r="24" spans="1:12">
      <c r="A24" s="83">
        <v>2</v>
      </c>
      <c r="B24" s="84" t="s">
        <v>256</v>
      </c>
      <c r="C24" s="85" t="s">
        <v>223</v>
      </c>
      <c r="D24" s="84" t="s">
        <v>254</v>
      </c>
      <c r="E24" s="86" t="s">
        <v>255</v>
      </c>
      <c r="F24" s="79">
        <v>1700</v>
      </c>
      <c r="G24" s="53">
        <v>5</v>
      </c>
      <c r="H24" s="53">
        <f t="shared" si="0"/>
        <v>1615</v>
      </c>
      <c r="I24" s="53">
        <v>4</v>
      </c>
      <c r="J24" s="53">
        <f t="shared" si="1"/>
        <v>1679.6</v>
      </c>
      <c r="K24" s="53"/>
      <c r="L24" s="53">
        <f t="shared" si="2"/>
        <v>0</v>
      </c>
    </row>
    <row r="25" spans="1:12">
      <c r="A25" s="87">
        <v>3</v>
      </c>
      <c r="B25" s="88" t="s">
        <v>257</v>
      </c>
      <c r="C25" s="89" t="s">
        <v>223</v>
      </c>
      <c r="D25" s="88" t="s">
        <v>254</v>
      </c>
      <c r="E25" s="90" t="s">
        <v>258</v>
      </c>
      <c r="F25" s="91">
        <v>1800</v>
      </c>
      <c r="G25" s="53">
        <v>5</v>
      </c>
      <c r="H25" s="53">
        <f t="shared" si="0"/>
        <v>1710</v>
      </c>
      <c r="I25" s="53">
        <v>4</v>
      </c>
      <c r="J25" s="53">
        <f t="shared" si="1"/>
        <v>1778.4</v>
      </c>
      <c r="K25" s="53"/>
      <c r="L25" s="53">
        <f t="shared" si="2"/>
        <v>0</v>
      </c>
    </row>
    <row r="26" spans="1:12">
      <c r="A26" s="83">
        <v>4</v>
      </c>
      <c r="B26" s="84" t="s">
        <v>259</v>
      </c>
      <c r="C26" s="85" t="s">
        <v>219</v>
      </c>
      <c r="D26" s="84" t="s">
        <v>254</v>
      </c>
      <c r="E26" s="86" t="s">
        <v>260</v>
      </c>
      <c r="F26" s="79">
        <v>2080</v>
      </c>
      <c r="G26" s="53">
        <v>5</v>
      </c>
      <c r="H26" s="53">
        <f t="shared" si="0"/>
        <v>1976</v>
      </c>
      <c r="I26" s="53">
        <v>4</v>
      </c>
      <c r="J26" s="53">
        <f t="shared" si="1"/>
        <v>2055.04</v>
      </c>
      <c r="K26" s="53"/>
      <c r="L26" s="53">
        <f t="shared" si="2"/>
        <v>0</v>
      </c>
    </row>
    <row r="27" spans="1:12">
      <c r="A27" s="83">
        <v>5</v>
      </c>
      <c r="B27" s="84" t="s">
        <v>261</v>
      </c>
      <c r="C27" s="85" t="s">
        <v>223</v>
      </c>
      <c r="D27" s="84" t="s">
        <v>254</v>
      </c>
      <c r="E27" s="86" t="s">
        <v>260</v>
      </c>
      <c r="F27" s="79">
        <v>2080</v>
      </c>
      <c r="G27" s="53">
        <v>5</v>
      </c>
      <c r="H27" s="53">
        <f t="shared" si="0"/>
        <v>1976</v>
      </c>
      <c r="I27" s="53">
        <v>4</v>
      </c>
      <c r="J27" s="53">
        <f t="shared" si="1"/>
        <v>2055.04</v>
      </c>
      <c r="K27" s="53"/>
      <c r="L27" s="53">
        <f t="shared" si="2"/>
        <v>0</v>
      </c>
    </row>
    <row r="28" spans="1:12">
      <c r="A28" s="83">
        <v>6</v>
      </c>
      <c r="B28" s="84" t="s">
        <v>262</v>
      </c>
      <c r="C28" s="85" t="s">
        <v>219</v>
      </c>
      <c r="D28" s="84" t="s">
        <v>263</v>
      </c>
      <c r="E28" s="86" t="s">
        <v>264</v>
      </c>
      <c r="F28" s="79">
        <v>2190</v>
      </c>
      <c r="G28" s="53">
        <v>5</v>
      </c>
      <c r="H28" s="53">
        <f t="shared" si="0"/>
        <v>2080.5</v>
      </c>
      <c r="I28" s="53">
        <v>4</v>
      </c>
      <c r="J28" s="53">
        <f t="shared" si="1"/>
        <v>2163.7199999999998</v>
      </c>
      <c r="K28" s="53"/>
      <c r="L28" s="53">
        <f t="shared" si="2"/>
        <v>0</v>
      </c>
    </row>
    <row r="29" spans="1:12">
      <c r="A29" s="83">
        <v>7</v>
      </c>
      <c r="B29" s="84" t="s">
        <v>265</v>
      </c>
      <c r="C29" s="85" t="s">
        <v>223</v>
      </c>
      <c r="D29" s="84" t="s">
        <v>263</v>
      </c>
      <c r="E29" s="86" t="s">
        <v>264</v>
      </c>
      <c r="F29" s="79">
        <v>2250</v>
      </c>
      <c r="G29" s="53">
        <v>5</v>
      </c>
      <c r="H29" s="53">
        <f t="shared" si="0"/>
        <v>2137.5</v>
      </c>
      <c r="I29" s="53">
        <v>4</v>
      </c>
      <c r="J29" s="53">
        <f t="shared" si="1"/>
        <v>2223</v>
      </c>
      <c r="K29" s="53"/>
      <c r="L29" s="53">
        <f t="shared" si="2"/>
        <v>0</v>
      </c>
    </row>
    <row r="30" spans="1:12">
      <c r="A30" s="83">
        <v>8</v>
      </c>
      <c r="B30" s="84" t="s">
        <v>266</v>
      </c>
      <c r="C30" s="85" t="s">
        <v>223</v>
      </c>
      <c r="D30" s="84" t="s">
        <v>263</v>
      </c>
      <c r="E30" s="86" t="s">
        <v>264</v>
      </c>
      <c r="F30" s="79">
        <v>3280</v>
      </c>
      <c r="G30" s="53">
        <v>5</v>
      </c>
      <c r="H30" s="53">
        <f t="shared" si="0"/>
        <v>3116</v>
      </c>
      <c r="I30" s="53">
        <v>4</v>
      </c>
      <c r="J30" s="53">
        <f t="shared" si="1"/>
        <v>3240.64</v>
      </c>
      <c r="K30" s="53"/>
      <c r="L30" s="53">
        <f t="shared" si="2"/>
        <v>0</v>
      </c>
    </row>
    <row r="31" spans="1:12">
      <c r="A31" s="87">
        <v>9</v>
      </c>
      <c r="B31" s="88" t="s">
        <v>267</v>
      </c>
      <c r="C31" s="89" t="s">
        <v>223</v>
      </c>
      <c r="D31" s="88" t="s">
        <v>254</v>
      </c>
      <c r="E31" s="90" t="s">
        <v>268</v>
      </c>
      <c r="F31" s="91">
        <v>2150</v>
      </c>
      <c r="G31" s="53">
        <v>5</v>
      </c>
      <c r="H31" s="53">
        <f t="shared" si="0"/>
        <v>2042.5</v>
      </c>
      <c r="I31" s="53">
        <v>4</v>
      </c>
      <c r="J31" s="53">
        <f t="shared" si="1"/>
        <v>2124.1999999999998</v>
      </c>
      <c r="K31" s="53"/>
      <c r="L31" s="53">
        <f t="shared" si="2"/>
        <v>0</v>
      </c>
    </row>
    <row r="32" spans="1:12">
      <c r="A32" s="87">
        <v>10</v>
      </c>
      <c r="B32" s="88" t="s">
        <v>269</v>
      </c>
      <c r="C32" s="89" t="s">
        <v>223</v>
      </c>
      <c r="D32" s="88" t="s">
        <v>254</v>
      </c>
      <c r="E32" s="90" t="s">
        <v>270</v>
      </c>
      <c r="F32" s="91">
        <v>1520</v>
      </c>
      <c r="G32" s="53">
        <v>5</v>
      </c>
      <c r="H32" s="53">
        <f t="shared" si="0"/>
        <v>1444</v>
      </c>
      <c r="I32" s="53">
        <v>4</v>
      </c>
      <c r="J32" s="53">
        <f t="shared" si="1"/>
        <v>1501.76</v>
      </c>
      <c r="K32" s="53"/>
      <c r="L32" s="53">
        <f t="shared" si="2"/>
        <v>0</v>
      </c>
    </row>
    <row r="33" spans="1:12">
      <c r="A33" s="87">
        <v>11</v>
      </c>
      <c r="B33" s="88" t="s">
        <v>271</v>
      </c>
      <c r="C33" s="89" t="s">
        <v>272</v>
      </c>
      <c r="D33" s="88" t="s">
        <v>254</v>
      </c>
      <c r="E33" s="90" t="s">
        <v>273</v>
      </c>
      <c r="F33" s="91">
        <v>1620</v>
      </c>
      <c r="G33" s="53">
        <v>5</v>
      </c>
      <c r="H33" s="53">
        <f t="shared" si="0"/>
        <v>1539</v>
      </c>
      <c r="I33" s="53">
        <v>4</v>
      </c>
      <c r="J33" s="53">
        <f t="shared" si="1"/>
        <v>1600.56</v>
      </c>
      <c r="K33" s="53"/>
      <c r="L33" s="53">
        <f t="shared" si="2"/>
        <v>0</v>
      </c>
    </row>
    <row r="34" spans="1:12">
      <c r="A34" s="87">
        <v>12</v>
      </c>
      <c r="B34" s="88" t="s">
        <v>274</v>
      </c>
      <c r="C34" s="89" t="s">
        <v>223</v>
      </c>
      <c r="D34" s="88" t="s">
        <v>275</v>
      </c>
      <c r="E34" s="90" t="s">
        <v>276</v>
      </c>
      <c r="F34" s="91">
        <v>1820</v>
      </c>
      <c r="G34" s="53">
        <v>5</v>
      </c>
      <c r="H34" s="53">
        <f t="shared" si="0"/>
        <v>1729</v>
      </c>
      <c r="I34" s="53">
        <v>4</v>
      </c>
      <c r="J34" s="53">
        <f t="shared" si="1"/>
        <v>1798.16</v>
      </c>
      <c r="K34" s="53"/>
      <c r="L34" s="53">
        <f t="shared" si="2"/>
        <v>0</v>
      </c>
    </row>
    <row r="35" spans="1:12">
      <c r="A35" s="87">
        <v>13</v>
      </c>
      <c r="B35" s="88" t="s">
        <v>277</v>
      </c>
      <c r="C35" s="89" t="s">
        <v>219</v>
      </c>
      <c r="D35" s="88" t="s">
        <v>275</v>
      </c>
      <c r="E35" s="90" t="s">
        <v>278</v>
      </c>
      <c r="F35" s="91">
        <v>1820</v>
      </c>
      <c r="G35" s="53">
        <v>5</v>
      </c>
      <c r="H35" s="53">
        <f t="shared" si="0"/>
        <v>1729</v>
      </c>
      <c r="I35" s="53">
        <v>4</v>
      </c>
      <c r="J35" s="53">
        <f t="shared" si="1"/>
        <v>1798.16</v>
      </c>
      <c r="K35" s="53"/>
      <c r="L35" s="53">
        <f t="shared" si="2"/>
        <v>0</v>
      </c>
    </row>
    <row r="36" spans="1:12">
      <c r="A36" s="83">
        <v>14</v>
      </c>
      <c r="B36" s="84" t="s">
        <v>279</v>
      </c>
      <c r="C36" s="85" t="s">
        <v>272</v>
      </c>
      <c r="D36" s="84" t="s">
        <v>263</v>
      </c>
      <c r="E36" s="86" t="s">
        <v>280</v>
      </c>
      <c r="F36" s="79">
        <v>1940</v>
      </c>
      <c r="G36" s="53">
        <v>5</v>
      </c>
      <c r="H36" s="53">
        <f t="shared" si="0"/>
        <v>1843</v>
      </c>
      <c r="I36" s="53">
        <v>4</v>
      </c>
      <c r="J36" s="53">
        <f t="shared" si="1"/>
        <v>1916.72</v>
      </c>
      <c r="K36" s="53"/>
      <c r="L36" s="53">
        <f t="shared" si="2"/>
        <v>0</v>
      </c>
    </row>
    <row r="37" spans="1:12">
      <c r="A37" s="83">
        <v>15</v>
      </c>
      <c r="B37" s="84" t="s">
        <v>281</v>
      </c>
      <c r="C37" s="85" t="s">
        <v>219</v>
      </c>
      <c r="D37" s="84" t="s">
        <v>254</v>
      </c>
      <c r="E37" s="86" t="s">
        <v>282</v>
      </c>
      <c r="F37" s="79">
        <v>1120</v>
      </c>
      <c r="G37" s="53">
        <v>5</v>
      </c>
      <c r="H37" s="53">
        <f t="shared" si="0"/>
        <v>1064</v>
      </c>
      <c r="I37" s="53">
        <v>4</v>
      </c>
      <c r="J37" s="53">
        <f t="shared" si="1"/>
        <v>1106.56</v>
      </c>
      <c r="K37" s="53"/>
      <c r="L37" s="53">
        <f t="shared" si="2"/>
        <v>0</v>
      </c>
    </row>
    <row r="38" spans="1:12">
      <c r="A38" s="83">
        <v>16</v>
      </c>
      <c r="B38" s="84" t="s">
        <v>283</v>
      </c>
      <c r="C38" s="85" t="s">
        <v>223</v>
      </c>
      <c r="D38" s="84" t="s">
        <v>254</v>
      </c>
      <c r="E38" s="86" t="s">
        <v>282</v>
      </c>
      <c r="F38" s="79">
        <v>1180</v>
      </c>
      <c r="G38" s="53">
        <v>5</v>
      </c>
      <c r="H38" s="53">
        <f t="shared" si="0"/>
        <v>1121</v>
      </c>
      <c r="I38" s="53">
        <v>4</v>
      </c>
      <c r="J38" s="53">
        <f t="shared" si="1"/>
        <v>1165.8399999999999</v>
      </c>
      <c r="K38" s="53"/>
      <c r="L38" s="53">
        <f t="shared" si="2"/>
        <v>0</v>
      </c>
    </row>
    <row r="39" spans="1:12">
      <c r="A39" s="87">
        <v>17</v>
      </c>
      <c r="B39" s="88" t="s">
        <v>284</v>
      </c>
      <c r="C39" s="89" t="s">
        <v>219</v>
      </c>
      <c r="D39" s="88" t="s">
        <v>285</v>
      </c>
      <c r="E39" s="90" t="s">
        <v>286</v>
      </c>
      <c r="F39" s="91">
        <v>1300</v>
      </c>
      <c r="G39" s="53">
        <v>5</v>
      </c>
      <c r="H39" s="53">
        <f t="shared" si="0"/>
        <v>1235</v>
      </c>
      <c r="I39" s="53">
        <v>4</v>
      </c>
      <c r="J39" s="53">
        <f t="shared" si="1"/>
        <v>1284.4000000000001</v>
      </c>
      <c r="K39" s="53"/>
      <c r="L39" s="53">
        <f t="shared" si="2"/>
        <v>0</v>
      </c>
    </row>
    <row r="40" spans="1:12">
      <c r="A40" s="87">
        <v>18</v>
      </c>
      <c r="B40" s="88" t="s">
        <v>287</v>
      </c>
      <c r="C40" s="89" t="s">
        <v>223</v>
      </c>
      <c r="D40" s="88" t="s">
        <v>285</v>
      </c>
      <c r="E40" s="90" t="s">
        <v>286</v>
      </c>
      <c r="F40" s="91">
        <v>1380</v>
      </c>
      <c r="G40" s="53">
        <v>5</v>
      </c>
      <c r="H40" s="53">
        <f t="shared" si="0"/>
        <v>1311</v>
      </c>
      <c r="I40" s="53">
        <v>4</v>
      </c>
      <c r="J40" s="53">
        <f t="shared" si="1"/>
        <v>1363.44</v>
      </c>
      <c r="K40" s="53"/>
      <c r="L40" s="53">
        <f t="shared" si="2"/>
        <v>0</v>
      </c>
    </row>
    <row r="41" spans="1:12">
      <c r="A41" s="83">
        <v>19</v>
      </c>
      <c r="B41" s="84" t="s">
        <v>288</v>
      </c>
      <c r="C41" s="85" t="s">
        <v>219</v>
      </c>
      <c r="D41" s="84" t="s">
        <v>275</v>
      </c>
      <c r="E41" s="86" t="s">
        <v>289</v>
      </c>
      <c r="F41" s="79">
        <v>1510</v>
      </c>
      <c r="G41" s="53">
        <v>5</v>
      </c>
      <c r="H41" s="53">
        <f t="shared" si="0"/>
        <v>1434.5</v>
      </c>
      <c r="I41" s="53">
        <v>4</v>
      </c>
      <c r="J41" s="53">
        <f t="shared" si="1"/>
        <v>1491.88</v>
      </c>
      <c r="K41" s="53"/>
      <c r="L41" s="53">
        <f t="shared" si="2"/>
        <v>0</v>
      </c>
    </row>
    <row r="42" spans="1:12">
      <c r="A42" s="83">
        <v>20</v>
      </c>
      <c r="B42" s="84" t="s">
        <v>290</v>
      </c>
      <c r="C42" s="85" t="s">
        <v>223</v>
      </c>
      <c r="D42" s="84" t="s">
        <v>275</v>
      </c>
      <c r="E42" s="86" t="s">
        <v>291</v>
      </c>
      <c r="F42" s="79">
        <v>1580</v>
      </c>
      <c r="G42" s="53">
        <v>5</v>
      </c>
      <c r="H42" s="53">
        <f t="shared" si="0"/>
        <v>1501</v>
      </c>
      <c r="I42" s="53">
        <v>4</v>
      </c>
      <c r="J42" s="53">
        <f t="shared" si="1"/>
        <v>1561.04</v>
      </c>
      <c r="K42" s="53"/>
      <c r="L42" s="53">
        <f t="shared" si="2"/>
        <v>0</v>
      </c>
    </row>
    <row r="43" spans="1:12">
      <c r="A43" s="80" t="s">
        <v>448</v>
      </c>
      <c r="B43" s="81"/>
      <c r="C43" s="81"/>
      <c r="D43" s="81"/>
      <c r="E43" s="82"/>
      <c r="F43" s="81"/>
      <c r="G43" s="54"/>
      <c r="H43" s="54">
        <f t="shared" si="0"/>
        <v>0</v>
      </c>
      <c r="I43" s="54"/>
      <c r="J43" s="54">
        <f t="shared" si="1"/>
        <v>0</v>
      </c>
      <c r="K43" s="54"/>
      <c r="L43" s="54">
        <f t="shared" si="2"/>
        <v>0</v>
      </c>
    </row>
    <row r="44" spans="1:12">
      <c r="A44" s="83">
        <v>1</v>
      </c>
      <c r="B44" s="84" t="s">
        <v>292</v>
      </c>
      <c r="C44" s="84" t="s">
        <v>293</v>
      </c>
      <c r="D44" s="84" t="s">
        <v>254</v>
      </c>
      <c r="E44" s="58" t="s">
        <v>449</v>
      </c>
      <c r="F44" s="79">
        <v>2150</v>
      </c>
      <c r="G44" s="53">
        <v>4</v>
      </c>
      <c r="H44" s="53">
        <f t="shared" si="0"/>
        <v>2064</v>
      </c>
      <c r="I44" s="53">
        <v>3</v>
      </c>
      <c r="J44" s="53">
        <f t="shared" si="1"/>
        <v>2125.92</v>
      </c>
      <c r="K44" s="53"/>
      <c r="L44" s="53">
        <f t="shared" si="2"/>
        <v>0</v>
      </c>
    </row>
    <row r="45" spans="1:12">
      <c r="A45" s="83">
        <v>2</v>
      </c>
      <c r="B45" s="84" t="s">
        <v>294</v>
      </c>
      <c r="C45" s="84" t="s">
        <v>295</v>
      </c>
      <c r="D45" s="84" t="s">
        <v>254</v>
      </c>
      <c r="E45" s="58" t="s">
        <v>450</v>
      </c>
      <c r="F45" s="79">
        <v>3140</v>
      </c>
      <c r="G45" s="53">
        <v>4</v>
      </c>
      <c r="H45" s="53">
        <f t="shared" si="0"/>
        <v>3014.4</v>
      </c>
      <c r="I45" s="53">
        <v>3</v>
      </c>
      <c r="J45" s="53">
        <f t="shared" si="1"/>
        <v>3104.8319999999999</v>
      </c>
      <c r="K45" s="53"/>
      <c r="L45" s="53">
        <f t="shared" si="2"/>
        <v>0</v>
      </c>
    </row>
    <row r="46" spans="1:12">
      <c r="A46" s="83">
        <v>3</v>
      </c>
      <c r="B46" s="84" t="s">
        <v>296</v>
      </c>
      <c r="C46" s="84" t="s">
        <v>297</v>
      </c>
      <c r="D46" s="84" t="s">
        <v>254</v>
      </c>
      <c r="E46" s="58" t="s">
        <v>451</v>
      </c>
      <c r="F46" s="79">
        <v>5320</v>
      </c>
      <c r="G46" s="53">
        <v>4</v>
      </c>
      <c r="H46" s="53">
        <f t="shared" si="0"/>
        <v>5107.2</v>
      </c>
      <c r="I46" s="53">
        <v>3</v>
      </c>
      <c r="J46" s="53">
        <f t="shared" si="1"/>
        <v>5260.4160000000002</v>
      </c>
      <c r="K46" s="53"/>
      <c r="L46" s="53">
        <f t="shared" si="2"/>
        <v>0</v>
      </c>
    </row>
    <row r="47" spans="1:12">
      <c r="A47" s="80" t="s">
        <v>452</v>
      </c>
      <c r="B47" s="81"/>
      <c r="C47" s="81"/>
      <c r="D47" s="81"/>
      <c r="E47" s="82"/>
      <c r="F47" s="81"/>
      <c r="G47" s="54"/>
      <c r="H47" s="54">
        <f t="shared" si="0"/>
        <v>0</v>
      </c>
      <c r="I47" s="54"/>
      <c r="J47" s="54">
        <f t="shared" si="1"/>
        <v>0</v>
      </c>
      <c r="K47" s="54"/>
      <c r="L47" s="54">
        <f t="shared" si="2"/>
        <v>0</v>
      </c>
    </row>
    <row r="48" spans="1:12">
      <c r="A48" s="83">
        <v>1</v>
      </c>
      <c r="B48" s="84" t="s">
        <v>298</v>
      </c>
      <c r="C48" s="84" t="s">
        <v>293</v>
      </c>
      <c r="D48" s="84" t="s">
        <v>299</v>
      </c>
      <c r="E48" s="86" t="s">
        <v>300</v>
      </c>
      <c r="F48" s="79">
        <v>3440</v>
      </c>
      <c r="G48" s="53">
        <v>4</v>
      </c>
      <c r="H48" s="53">
        <f t="shared" si="0"/>
        <v>3302.4</v>
      </c>
      <c r="I48" s="53">
        <v>3</v>
      </c>
      <c r="J48" s="53">
        <f t="shared" si="1"/>
        <v>3401.4720000000002</v>
      </c>
      <c r="K48" s="53"/>
      <c r="L48" s="53">
        <f t="shared" si="2"/>
        <v>0</v>
      </c>
    </row>
    <row r="49" spans="1:12">
      <c r="A49" s="83">
        <v>2</v>
      </c>
      <c r="B49" s="84" t="s">
        <v>301</v>
      </c>
      <c r="C49" s="84" t="s">
        <v>295</v>
      </c>
      <c r="D49" s="84" t="s">
        <v>299</v>
      </c>
      <c r="E49" s="86" t="s">
        <v>302</v>
      </c>
      <c r="F49" s="79">
        <v>4930</v>
      </c>
      <c r="G49" s="53">
        <v>4</v>
      </c>
      <c r="H49" s="53">
        <f t="shared" si="0"/>
        <v>4732.8</v>
      </c>
      <c r="I49" s="53">
        <v>3</v>
      </c>
      <c r="J49" s="53">
        <f t="shared" si="1"/>
        <v>4874.7840000000006</v>
      </c>
      <c r="K49" s="53"/>
      <c r="L49" s="53">
        <f t="shared" si="2"/>
        <v>0</v>
      </c>
    </row>
    <row r="50" spans="1:12">
      <c r="A50" s="83">
        <v>3</v>
      </c>
      <c r="B50" s="84" t="s">
        <v>303</v>
      </c>
      <c r="C50" s="84" t="s">
        <v>295</v>
      </c>
      <c r="D50" s="84" t="s">
        <v>299</v>
      </c>
      <c r="E50" s="86" t="s">
        <v>304</v>
      </c>
      <c r="F50" s="79">
        <v>9130</v>
      </c>
      <c r="G50" s="53">
        <v>4</v>
      </c>
      <c r="H50" s="53">
        <f t="shared" si="0"/>
        <v>8764.7999999999993</v>
      </c>
      <c r="I50" s="53">
        <v>3</v>
      </c>
      <c r="J50" s="53">
        <f t="shared" si="1"/>
        <v>9027.7439999999988</v>
      </c>
      <c r="K50" s="53"/>
      <c r="L50" s="53">
        <f t="shared" si="2"/>
        <v>0</v>
      </c>
    </row>
    <row r="51" spans="1:12">
      <c r="A51" s="83">
        <v>4</v>
      </c>
      <c r="B51" s="84" t="s">
        <v>305</v>
      </c>
      <c r="C51" s="84" t="s">
        <v>297</v>
      </c>
      <c r="D51" s="84" t="s">
        <v>299</v>
      </c>
      <c r="E51" s="86" t="s">
        <v>306</v>
      </c>
      <c r="F51" s="79">
        <v>8510</v>
      </c>
      <c r="G51" s="53">
        <v>4</v>
      </c>
      <c r="H51" s="53">
        <f t="shared" si="0"/>
        <v>8169.6</v>
      </c>
      <c r="I51" s="53">
        <v>3</v>
      </c>
      <c r="J51" s="53">
        <f t="shared" si="1"/>
        <v>8414.6880000000001</v>
      </c>
      <c r="K51" s="53"/>
      <c r="L51" s="53">
        <f t="shared" si="2"/>
        <v>0</v>
      </c>
    </row>
    <row r="52" spans="1:12">
      <c r="A52" s="87">
        <v>5</v>
      </c>
      <c r="B52" s="88" t="s">
        <v>307</v>
      </c>
      <c r="C52" s="88" t="s">
        <v>293</v>
      </c>
      <c r="D52" s="88" t="s">
        <v>299</v>
      </c>
      <c r="E52" s="59" t="s">
        <v>453</v>
      </c>
      <c r="F52" s="91">
        <v>3440</v>
      </c>
      <c r="G52" s="53">
        <v>4</v>
      </c>
      <c r="H52" s="53">
        <f t="shared" si="0"/>
        <v>3302.4</v>
      </c>
      <c r="I52" s="53">
        <v>3</v>
      </c>
      <c r="J52" s="53">
        <f t="shared" si="1"/>
        <v>3401.4720000000002</v>
      </c>
      <c r="K52" s="53"/>
      <c r="L52" s="53">
        <f t="shared" si="2"/>
        <v>0</v>
      </c>
    </row>
    <row r="53" spans="1:12">
      <c r="A53" s="87">
        <v>6</v>
      </c>
      <c r="B53" s="88" t="s">
        <v>308</v>
      </c>
      <c r="C53" s="88" t="s">
        <v>295</v>
      </c>
      <c r="D53" s="88" t="s">
        <v>299</v>
      </c>
      <c r="E53" s="59" t="s">
        <v>454</v>
      </c>
      <c r="F53" s="91">
        <v>4930</v>
      </c>
      <c r="G53" s="53">
        <v>4</v>
      </c>
      <c r="H53" s="53">
        <f t="shared" si="0"/>
        <v>4732.8</v>
      </c>
      <c r="I53" s="53">
        <v>3</v>
      </c>
      <c r="J53" s="53">
        <f t="shared" si="1"/>
        <v>4874.7840000000006</v>
      </c>
      <c r="K53" s="53"/>
      <c r="L53" s="53">
        <f t="shared" si="2"/>
        <v>0</v>
      </c>
    </row>
    <row r="54" spans="1:12">
      <c r="A54" s="87">
        <v>7</v>
      </c>
      <c r="B54" s="88" t="s">
        <v>309</v>
      </c>
      <c r="C54" s="88" t="s">
        <v>297</v>
      </c>
      <c r="D54" s="88" t="s">
        <v>299</v>
      </c>
      <c r="E54" s="59" t="s">
        <v>455</v>
      </c>
      <c r="F54" s="91">
        <v>8510</v>
      </c>
      <c r="G54" s="53">
        <v>4</v>
      </c>
      <c r="H54" s="53">
        <f t="shared" si="0"/>
        <v>8169.6</v>
      </c>
      <c r="I54" s="53">
        <v>3</v>
      </c>
      <c r="J54" s="53">
        <f t="shared" si="1"/>
        <v>8414.6880000000001</v>
      </c>
      <c r="K54" s="53"/>
      <c r="L54" s="53">
        <f t="shared" si="2"/>
        <v>0</v>
      </c>
    </row>
    <row r="55" spans="1:12">
      <c r="A55" s="87">
        <v>8</v>
      </c>
      <c r="B55" s="88" t="s">
        <v>310</v>
      </c>
      <c r="C55" s="88" t="s">
        <v>293</v>
      </c>
      <c r="D55" s="88" t="s">
        <v>299</v>
      </c>
      <c r="E55" s="90" t="s">
        <v>311</v>
      </c>
      <c r="F55" s="91">
        <v>4030</v>
      </c>
      <c r="G55" s="53">
        <v>4</v>
      </c>
      <c r="H55" s="53">
        <f t="shared" si="0"/>
        <v>3868.8</v>
      </c>
      <c r="I55" s="53">
        <v>3</v>
      </c>
      <c r="J55" s="53">
        <f t="shared" si="1"/>
        <v>3984.864</v>
      </c>
      <c r="K55" s="53"/>
      <c r="L55" s="53">
        <f t="shared" si="2"/>
        <v>0</v>
      </c>
    </row>
    <row r="56" spans="1:12">
      <c r="A56" s="87">
        <v>9</v>
      </c>
      <c r="B56" s="88" t="s">
        <v>312</v>
      </c>
      <c r="C56" s="88" t="s">
        <v>295</v>
      </c>
      <c r="D56" s="88" t="s">
        <v>299</v>
      </c>
      <c r="E56" s="90" t="s">
        <v>313</v>
      </c>
      <c r="F56" s="91">
        <v>5840</v>
      </c>
      <c r="G56" s="53">
        <v>4</v>
      </c>
      <c r="H56" s="53">
        <f t="shared" si="0"/>
        <v>5606.4</v>
      </c>
      <c r="I56" s="53">
        <v>3</v>
      </c>
      <c r="J56" s="53">
        <f t="shared" si="1"/>
        <v>5774.5919999999996</v>
      </c>
      <c r="K56" s="53"/>
      <c r="L56" s="53">
        <f t="shared" si="2"/>
        <v>0</v>
      </c>
    </row>
    <row r="57" spans="1:12">
      <c r="A57" s="87">
        <v>10</v>
      </c>
      <c r="B57" s="88" t="s">
        <v>314</v>
      </c>
      <c r="C57" s="88" t="s">
        <v>297</v>
      </c>
      <c r="D57" s="88" t="s">
        <v>299</v>
      </c>
      <c r="E57" s="59" t="s">
        <v>456</v>
      </c>
      <c r="F57" s="91">
        <v>10110</v>
      </c>
      <c r="G57" s="53">
        <v>4</v>
      </c>
      <c r="H57" s="53">
        <f t="shared" si="0"/>
        <v>9705.6</v>
      </c>
      <c r="I57" s="53">
        <v>3</v>
      </c>
      <c r="J57" s="53">
        <f t="shared" si="1"/>
        <v>9996.768</v>
      </c>
      <c r="K57" s="53"/>
      <c r="L57" s="53">
        <f t="shared" si="2"/>
        <v>0</v>
      </c>
    </row>
    <row r="58" spans="1:12">
      <c r="A58" s="87">
        <v>11</v>
      </c>
      <c r="B58" s="88" t="s">
        <v>315</v>
      </c>
      <c r="C58" s="88" t="s">
        <v>297</v>
      </c>
      <c r="D58" s="88" t="s">
        <v>299</v>
      </c>
      <c r="E58" s="59" t="s">
        <v>456</v>
      </c>
      <c r="F58" s="91">
        <v>13430</v>
      </c>
      <c r="G58" s="53">
        <v>4</v>
      </c>
      <c r="H58" s="53">
        <f t="shared" si="0"/>
        <v>12892.8</v>
      </c>
      <c r="I58" s="53">
        <v>3</v>
      </c>
      <c r="J58" s="53">
        <f t="shared" si="1"/>
        <v>13279.583999999999</v>
      </c>
      <c r="K58" s="53"/>
      <c r="L58" s="53">
        <f t="shared" si="2"/>
        <v>0</v>
      </c>
    </row>
    <row r="59" spans="1:12">
      <c r="A59" s="83">
        <v>12</v>
      </c>
      <c r="B59" s="84" t="s">
        <v>316</v>
      </c>
      <c r="C59" s="84" t="s">
        <v>317</v>
      </c>
      <c r="D59" s="84" t="s">
        <v>254</v>
      </c>
      <c r="E59" s="58" t="s">
        <v>457</v>
      </c>
      <c r="F59" s="79">
        <v>18000</v>
      </c>
      <c r="G59" s="53">
        <v>4</v>
      </c>
      <c r="H59" s="53">
        <f t="shared" si="0"/>
        <v>17280</v>
      </c>
      <c r="I59" s="53">
        <v>3</v>
      </c>
      <c r="J59" s="53">
        <f t="shared" si="1"/>
        <v>17798.400000000001</v>
      </c>
      <c r="K59" s="53"/>
      <c r="L59" s="53">
        <f t="shared" si="2"/>
        <v>0</v>
      </c>
    </row>
    <row r="60" spans="1:12">
      <c r="A60" s="83">
        <v>13</v>
      </c>
      <c r="B60" s="84" t="s">
        <v>318</v>
      </c>
      <c r="C60" s="84" t="s">
        <v>317</v>
      </c>
      <c r="D60" s="84" t="s">
        <v>299</v>
      </c>
      <c r="E60" s="86" t="s">
        <v>319</v>
      </c>
      <c r="F60" s="79">
        <v>22000</v>
      </c>
      <c r="G60" s="53">
        <v>4</v>
      </c>
      <c r="H60" s="53">
        <f t="shared" si="0"/>
        <v>21120</v>
      </c>
      <c r="I60" s="53">
        <v>3</v>
      </c>
      <c r="J60" s="53">
        <f t="shared" si="1"/>
        <v>21753.599999999999</v>
      </c>
      <c r="K60" s="53"/>
      <c r="L60" s="53">
        <f t="shared" si="2"/>
        <v>0</v>
      </c>
    </row>
    <row r="61" spans="1:12">
      <c r="A61" s="80" t="s">
        <v>458</v>
      </c>
      <c r="B61" s="81"/>
      <c r="C61" s="81"/>
      <c r="D61" s="81"/>
      <c r="E61" s="82"/>
      <c r="F61" s="81"/>
      <c r="G61" s="54"/>
      <c r="H61" s="54">
        <f t="shared" si="0"/>
        <v>0</v>
      </c>
      <c r="I61" s="54"/>
      <c r="J61" s="54">
        <f t="shared" si="1"/>
        <v>0</v>
      </c>
      <c r="K61" s="54"/>
      <c r="L61" s="54">
        <f t="shared" si="2"/>
        <v>0</v>
      </c>
    </row>
    <row r="62" spans="1:12">
      <c r="A62" s="83">
        <v>1</v>
      </c>
      <c r="B62" s="84" t="s">
        <v>320</v>
      </c>
      <c r="C62" s="84" t="s">
        <v>293</v>
      </c>
      <c r="D62" s="84" t="s">
        <v>321</v>
      </c>
      <c r="E62" s="86" t="s">
        <v>322</v>
      </c>
      <c r="F62" s="79">
        <v>5040</v>
      </c>
      <c r="G62" s="53">
        <v>4</v>
      </c>
      <c r="H62" s="53">
        <f t="shared" si="0"/>
        <v>4838.3999999999996</v>
      </c>
      <c r="I62" s="53">
        <v>3</v>
      </c>
      <c r="J62" s="53">
        <f t="shared" si="1"/>
        <v>4983.5519999999997</v>
      </c>
      <c r="K62" s="53"/>
      <c r="L62" s="53">
        <f t="shared" si="2"/>
        <v>0</v>
      </c>
    </row>
    <row r="63" spans="1:12">
      <c r="A63" s="83">
        <v>2</v>
      </c>
      <c r="B63" s="84" t="s">
        <v>323</v>
      </c>
      <c r="C63" s="84" t="s">
        <v>295</v>
      </c>
      <c r="D63" s="84" t="s">
        <v>321</v>
      </c>
      <c r="E63" s="86" t="s">
        <v>324</v>
      </c>
      <c r="F63" s="79">
        <v>8120</v>
      </c>
      <c r="G63" s="53">
        <v>4</v>
      </c>
      <c r="H63" s="53">
        <f t="shared" si="0"/>
        <v>7795.2</v>
      </c>
      <c r="I63" s="53">
        <v>3</v>
      </c>
      <c r="J63" s="53">
        <f t="shared" si="1"/>
        <v>8029.0559999999996</v>
      </c>
      <c r="K63" s="53"/>
      <c r="L63" s="53">
        <f t="shared" si="2"/>
        <v>0</v>
      </c>
    </row>
    <row r="64" spans="1:12">
      <c r="A64" s="87">
        <v>3</v>
      </c>
      <c r="B64" s="88" t="s">
        <v>325</v>
      </c>
      <c r="C64" s="88" t="s">
        <v>295</v>
      </c>
      <c r="D64" s="88" t="s">
        <v>321</v>
      </c>
      <c r="E64" s="59" t="s">
        <v>459</v>
      </c>
      <c r="F64" s="91">
        <v>6850</v>
      </c>
      <c r="G64" s="53">
        <v>4</v>
      </c>
      <c r="H64" s="53">
        <f t="shared" si="0"/>
        <v>6576</v>
      </c>
      <c r="I64" s="53">
        <v>3</v>
      </c>
      <c r="J64" s="53">
        <f t="shared" si="1"/>
        <v>6773.28</v>
      </c>
      <c r="K64" s="53"/>
      <c r="L64" s="53">
        <f t="shared" si="2"/>
        <v>0</v>
      </c>
    </row>
    <row r="65" spans="1:12">
      <c r="A65" s="83">
        <v>4</v>
      </c>
      <c r="B65" s="84" t="s">
        <v>326</v>
      </c>
      <c r="C65" s="84" t="s">
        <v>295</v>
      </c>
      <c r="D65" s="84" t="s">
        <v>321</v>
      </c>
      <c r="E65" s="86" t="s">
        <v>324</v>
      </c>
      <c r="F65" s="79">
        <v>11260</v>
      </c>
      <c r="G65" s="53">
        <v>4</v>
      </c>
      <c r="H65" s="53">
        <f t="shared" si="0"/>
        <v>10809.6</v>
      </c>
      <c r="I65" s="53">
        <v>3</v>
      </c>
      <c r="J65" s="53">
        <f t="shared" si="1"/>
        <v>11133.888000000001</v>
      </c>
      <c r="K65" s="53"/>
      <c r="L65" s="53">
        <f t="shared" si="2"/>
        <v>0</v>
      </c>
    </row>
    <row r="66" spans="1:12">
      <c r="A66" s="87">
        <v>5</v>
      </c>
      <c r="B66" s="88" t="s">
        <v>327</v>
      </c>
      <c r="C66" s="88" t="s">
        <v>297</v>
      </c>
      <c r="D66" s="88" t="s">
        <v>321</v>
      </c>
      <c r="E66" s="59" t="s">
        <v>460</v>
      </c>
      <c r="F66" s="91">
        <v>14500</v>
      </c>
      <c r="G66" s="53">
        <v>4</v>
      </c>
      <c r="H66" s="53">
        <f t="shared" si="0"/>
        <v>13920</v>
      </c>
      <c r="I66" s="53">
        <v>3</v>
      </c>
      <c r="J66" s="53">
        <f t="shared" si="1"/>
        <v>14337.6</v>
      </c>
      <c r="K66" s="53"/>
      <c r="L66" s="53">
        <f t="shared" si="2"/>
        <v>0</v>
      </c>
    </row>
    <row r="67" spans="1:12">
      <c r="A67" s="92" t="s">
        <v>461</v>
      </c>
      <c r="B67" s="93"/>
      <c r="C67" s="93"/>
      <c r="D67" s="93"/>
      <c r="E67" s="94"/>
      <c r="F67" s="93"/>
      <c r="G67" s="53"/>
      <c r="H67" s="53">
        <f t="shared" si="0"/>
        <v>0</v>
      </c>
      <c r="I67" s="53"/>
      <c r="J67" s="53">
        <f t="shared" si="1"/>
        <v>0</v>
      </c>
      <c r="K67" s="53"/>
      <c r="L67" s="53">
        <f t="shared" si="2"/>
        <v>0</v>
      </c>
    </row>
    <row r="68" spans="1:12">
      <c r="A68" s="95" t="s">
        <v>462</v>
      </c>
      <c r="B68" s="95" t="s">
        <v>463</v>
      </c>
      <c r="C68" s="95" t="s">
        <v>464</v>
      </c>
      <c r="D68" s="95" t="s">
        <v>465</v>
      </c>
      <c r="E68" s="96" t="s">
        <v>466</v>
      </c>
      <c r="F68" s="60"/>
      <c r="G68" s="53"/>
      <c r="H68" s="53">
        <f t="shared" ref="H68:H131" si="3">F68-(F68*G68/100)</f>
        <v>0</v>
      </c>
      <c r="I68" s="53"/>
      <c r="J68" s="53">
        <f t="shared" ref="J68:J131" si="4">H68+(H68*I68/100)</f>
        <v>0</v>
      </c>
      <c r="K68" s="53"/>
      <c r="L68" s="53">
        <f t="shared" ref="L68:L131" si="5">J68*K68</f>
        <v>0</v>
      </c>
    </row>
    <row r="69" spans="1:12">
      <c r="A69" s="83">
        <v>1</v>
      </c>
      <c r="B69" s="84" t="s">
        <v>328</v>
      </c>
      <c r="C69" s="85" t="s">
        <v>329</v>
      </c>
      <c r="D69" s="84" t="s">
        <v>330</v>
      </c>
      <c r="E69" s="86" t="s">
        <v>331</v>
      </c>
      <c r="F69" s="79">
        <v>450</v>
      </c>
      <c r="G69" s="53">
        <v>4</v>
      </c>
      <c r="H69" s="53">
        <f t="shared" si="3"/>
        <v>432</v>
      </c>
      <c r="I69" s="53">
        <v>3</v>
      </c>
      <c r="J69" s="53">
        <f t="shared" si="4"/>
        <v>444.96</v>
      </c>
      <c r="K69" s="53"/>
      <c r="L69" s="53">
        <f t="shared" si="5"/>
        <v>0</v>
      </c>
    </row>
    <row r="70" spans="1:12">
      <c r="A70" s="83">
        <v>2</v>
      </c>
      <c r="B70" s="84" t="s">
        <v>332</v>
      </c>
      <c r="C70" s="85" t="s">
        <v>333</v>
      </c>
      <c r="D70" s="84" t="s">
        <v>330</v>
      </c>
      <c r="E70" s="86" t="s">
        <v>334</v>
      </c>
      <c r="F70" s="79">
        <v>620</v>
      </c>
      <c r="G70" s="53">
        <v>4</v>
      </c>
      <c r="H70" s="53">
        <f t="shared" si="3"/>
        <v>595.20000000000005</v>
      </c>
      <c r="I70" s="53">
        <v>3</v>
      </c>
      <c r="J70" s="53">
        <f t="shared" si="4"/>
        <v>613.05600000000004</v>
      </c>
      <c r="K70" s="53"/>
      <c r="L70" s="53">
        <f t="shared" si="5"/>
        <v>0</v>
      </c>
    </row>
    <row r="71" spans="1:12">
      <c r="A71" s="83">
        <v>3</v>
      </c>
      <c r="B71" s="84" t="s">
        <v>335</v>
      </c>
      <c r="C71" s="85" t="s">
        <v>336</v>
      </c>
      <c r="D71" s="84" t="s">
        <v>330</v>
      </c>
      <c r="E71" s="86" t="s">
        <v>334</v>
      </c>
      <c r="F71" s="79">
        <v>990</v>
      </c>
      <c r="G71" s="53">
        <v>4</v>
      </c>
      <c r="H71" s="53">
        <f t="shared" si="3"/>
        <v>950.4</v>
      </c>
      <c r="I71" s="53">
        <v>3</v>
      </c>
      <c r="J71" s="53">
        <f t="shared" si="4"/>
        <v>978.91199999999992</v>
      </c>
      <c r="K71" s="53"/>
      <c r="L71" s="53">
        <f t="shared" si="5"/>
        <v>0</v>
      </c>
    </row>
    <row r="72" spans="1:12">
      <c r="A72" s="97" t="s">
        <v>462</v>
      </c>
      <c r="B72" s="97" t="s">
        <v>463</v>
      </c>
      <c r="C72" s="97" t="s">
        <v>467</v>
      </c>
      <c r="D72" s="97" t="s">
        <v>468</v>
      </c>
      <c r="E72" s="98" t="s">
        <v>466</v>
      </c>
      <c r="F72" s="61"/>
      <c r="G72" s="54"/>
      <c r="H72" s="54">
        <f t="shared" si="3"/>
        <v>0</v>
      </c>
      <c r="I72" s="54"/>
      <c r="J72" s="54">
        <f t="shared" si="4"/>
        <v>0</v>
      </c>
      <c r="K72" s="54"/>
      <c r="L72" s="54">
        <f t="shared" si="5"/>
        <v>0</v>
      </c>
    </row>
    <row r="73" spans="1:12">
      <c r="A73" s="83">
        <v>1</v>
      </c>
      <c r="B73" s="84" t="s">
        <v>337</v>
      </c>
      <c r="C73" s="85" t="s">
        <v>338</v>
      </c>
      <c r="D73" s="84" t="s">
        <v>339</v>
      </c>
      <c r="E73" s="86" t="s">
        <v>340</v>
      </c>
      <c r="F73" s="79">
        <v>1840</v>
      </c>
      <c r="G73" s="53">
        <v>4</v>
      </c>
      <c r="H73" s="53">
        <f t="shared" si="3"/>
        <v>1766.4</v>
      </c>
      <c r="I73" s="53">
        <v>3</v>
      </c>
      <c r="J73" s="53">
        <f t="shared" si="4"/>
        <v>1819.3920000000001</v>
      </c>
      <c r="K73" s="53"/>
      <c r="L73" s="53">
        <f t="shared" si="5"/>
        <v>0</v>
      </c>
    </row>
    <row r="74" spans="1:12">
      <c r="A74" s="83">
        <v>2</v>
      </c>
      <c r="B74" s="84" t="s">
        <v>341</v>
      </c>
      <c r="C74" s="85" t="s">
        <v>342</v>
      </c>
      <c r="D74" s="84" t="s">
        <v>339</v>
      </c>
      <c r="E74" s="86" t="s">
        <v>340</v>
      </c>
      <c r="F74" s="79">
        <v>3600</v>
      </c>
      <c r="G74" s="53">
        <v>4</v>
      </c>
      <c r="H74" s="53">
        <f t="shared" si="3"/>
        <v>3456</v>
      </c>
      <c r="I74" s="53">
        <v>3</v>
      </c>
      <c r="J74" s="53">
        <f t="shared" si="4"/>
        <v>3559.68</v>
      </c>
      <c r="K74" s="53"/>
      <c r="L74" s="53">
        <f t="shared" si="5"/>
        <v>0</v>
      </c>
    </row>
    <row r="75" spans="1:12">
      <c r="A75" s="83">
        <v>3</v>
      </c>
      <c r="B75" s="84" t="s">
        <v>343</v>
      </c>
      <c r="C75" s="85" t="s">
        <v>338</v>
      </c>
      <c r="D75" s="84" t="s">
        <v>339</v>
      </c>
      <c r="E75" s="86" t="s">
        <v>469</v>
      </c>
      <c r="F75" s="62"/>
      <c r="G75" s="53">
        <v>4</v>
      </c>
      <c r="H75" s="53">
        <f t="shared" si="3"/>
        <v>0</v>
      </c>
      <c r="I75" s="53"/>
      <c r="J75" s="53">
        <f t="shared" si="4"/>
        <v>0</v>
      </c>
      <c r="K75" s="53"/>
      <c r="L75" s="53">
        <f t="shared" si="5"/>
        <v>0</v>
      </c>
    </row>
    <row r="76" spans="1:12">
      <c r="A76" s="83">
        <v>4</v>
      </c>
      <c r="B76" s="84" t="s">
        <v>344</v>
      </c>
      <c r="C76" s="85" t="s">
        <v>342</v>
      </c>
      <c r="D76" s="84" t="s">
        <v>339</v>
      </c>
      <c r="E76" s="86" t="s">
        <v>469</v>
      </c>
      <c r="F76" s="62"/>
      <c r="G76" s="53">
        <v>4</v>
      </c>
      <c r="H76" s="53">
        <f t="shared" si="3"/>
        <v>0</v>
      </c>
      <c r="I76" s="53"/>
      <c r="J76" s="53">
        <f t="shared" si="4"/>
        <v>0</v>
      </c>
      <c r="K76" s="53"/>
      <c r="L76" s="53">
        <f t="shared" si="5"/>
        <v>0</v>
      </c>
    </row>
    <row r="77" spans="1:12">
      <c r="A77" s="83">
        <v>5</v>
      </c>
      <c r="B77" s="84" t="s">
        <v>345</v>
      </c>
      <c r="C77" s="85" t="s">
        <v>346</v>
      </c>
      <c r="D77" s="84" t="s">
        <v>339</v>
      </c>
      <c r="E77" s="86" t="s">
        <v>347</v>
      </c>
      <c r="F77" s="62"/>
      <c r="G77" s="53">
        <v>4</v>
      </c>
      <c r="H77" s="53">
        <f t="shared" si="3"/>
        <v>0</v>
      </c>
      <c r="I77" s="53"/>
      <c r="J77" s="53">
        <f t="shared" si="4"/>
        <v>0</v>
      </c>
      <c r="K77" s="53"/>
      <c r="L77" s="53">
        <f t="shared" si="5"/>
        <v>0</v>
      </c>
    </row>
    <row r="78" spans="1:12">
      <c r="A78" s="83">
        <v>6</v>
      </c>
      <c r="B78" s="84" t="s">
        <v>348</v>
      </c>
      <c r="C78" s="85" t="s">
        <v>346</v>
      </c>
      <c r="D78" s="84" t="s">
        <v>339</v>
      </c>
      <c r="E78" s="86" t="s">
        <v>349</v>
      </c>
      <c r="F78" s="79">
        <v>7200</v>
      </c>
      <c r="G78" s="53">
        <v>4</v>
      </c>
      <c r="H78" s="53">
        <f t="shared" si="3"/>
        <v>6912</v>
      </c>
      <c r="I78" s="53">
        <v>3</v>
      </c>
      <c r="J78" s="53">
        <f t="shared" si="4"/>
        <v>7119.36</v>
      </c>
      <c r="K78" s="53"/>
      <c r="L78" s="53">
        <f t="shared" si="5"/>
        <v>0</v>
      </c>
    </row>
    <row r="79" spans="1:12">
      <c r="A79" s="99" t="s">
        <v>470</v>
      </c>
      <c r="B79" s="100"/>
      <c r="C79" s="100"/>
      <c r="D79" s="100"/>
      <c r="E79" s="101"/>
      <c r="F79" s="100"/>
      <c r="G79" s="54"/>
      <c r="H79" s="54">
        <f t="shared" si="3"/>
        <v>0</v>
      </c>
      <c r="I79" s="54"/>
      <c r="J79" s="54">
        <f t="shared" si="4"/>
        <v>0</v>
      </c>
      <c r="K79" s="54"/>
      <c r="L79" s="54">
        <f t="shared" si="5"/>
        <v>0</v>
      </c>
    </row>
    <row r="80" spans="1:12">
      <c r="A80" s="102" t="s">
        <v>462</v>
      </c>
      <c r="B80" s="102" t="s">
        <v>463</v>
      </c>
      <c r="C80" s="102" t="s">
        <v>471</v>
      </c>
      <c r="D80" s="102" t="s">
        <v>472</v>
      </c>
      <c r="E80" s="103" t="s">
        <v>466</v>
      </c>
      <c r="F80" s="63"/>
      <c r="G80" s="53"/>
      <c r="H80" s="53">
        <f t="shared" si="3"/>
        <v>0</v>
      </c>
      <c r="I80" s="53"/>
      <c r="J80" s="53">
        <f t="shared" si="4"/>
        <v>0</v>
      </c>
      <c r="K80" s="53"/>
      <c r="L80" s="53">
        <f t="shared" si="5"/>
        <v>0</v>
      </c>
    </row>
    <row r="81" spans="1:12">
      <c r="A81" s="104" t="s">
        <v>473</v>
      </c>
      <c r="B81" s="105"/>
      <c r="C81" s="105"/>
      <c r="D81" s="105"/>
      <c r="E81" s="106"/>
      <c r="F81" s="105"/>
      <c r="G81" s="53"/>
      <c r="H81" s="53">
        <f t="shared" si="3"/>
        <v>0</v>
      </c>
      <c r="I81" s="53"/>
      <c r="J81" s="53">
        <f t="shared" si="4"/>
        <v>0</v>
      </c>
      <c r="K81" s="53"/>
      <c r="L81" s="53">
        <f t="shared" si="5"/>
        <v>0</v>
      </c>
    </row>
    <row r="82" spans="1:12">
      <c r="A82" s="83">
        <v>1</v>
      </c>
      <c r="B82" s="84" t="s">
        <v>350</v>
      </c>
      <c r="C82" s="85" t="s">
        <v>293</v>
      </c>
      <c r="D82" s="84" t="s">
        <v>351</v>
      </c>
      <c r="E82" s="86" t="s">
        <v>352</v>
      </c>
      <c r="F82" s="79">
        <v>3450</v>
      </c>
      <c r="G82" s="53">
        <v>4</v>
      </c>
      <c r="H82" s="53">
        <f t="shared" si="3"/>
        <v>3312</v>
      </c>
      <c r="I82" s="53">
        <v>3</v>
      </c>
      <c r="J82" s="53">
        <f t="shared" si="4"/>
        <v>3411.36</v>
      </c>
      <c r="K82" s="53"/>
      <c r="L82" s="53">
        <f t="shared" si="5"/>
        <v>0</v>
      </c>
    </row>
    <row r="83" spans="1:12">
      <c r="A83" s="83">
        <v>2</v>
      </c>
      <c r="B83" s="84" t="s">
        <v>353</v>
      </c>
      <c r="C83" s="85" t="s">
        <v>295</v>
      </c>
      <c r="D83" s="84" t="s">
        <v>354</v>
      </c>
      <c r="E83" s="86" t="s">
        <v>352</v>
      </c>
      <c r="F83" s="79">
        <v>4100</v>
      </c>
      <c r="G83" s="53">
        <v>4</v>
      </c>
      <c r="H83" s="53">
        <f t="shared" si="3"/>
        <v>3936</v>
      </c>
      <c r="I83" s="53">
        <v>3</v>
      </c>
      <c r="J83" s="53">
        <f t="shared" si="4"/>
        <v>4054.08</v>
      </c>
      <c r="K83" s="53"/>
      <c r="L83" s="53">
        <f t="shared" si="5"/>
        <v>0</v>
      </c>
    </row>
    <row r="84" spans="1:12">
      <c r="A84" s="83">
        <v>3</v>
      </c>
      <c r="B84" s="84" t="s">
        <v>355</v>
      </c>
      <c r="C84" s="85" t="s">
        <v>297</v>
      </c>
      <c r="D84" s="84" t="s">
        <v>356</v>
      </c>
      <c r="E84" s="86" t="s">
        <v>357</v>
      </c>
      <c r="F84" s="79">
        <v>5600</v>
      </c>
      <c r="G84" s="53">
        <v>4</v>
      </c>
      <c r="H84" s="53">
        <f t="shared" si="3"/>
        <v>5376</v>
      </c>
      <c r="I84" s="53">
        <v>3</v>
      </c>
      <c r="J84" s="53">
        <f t="shared" si="4"/>
        <v>5537.28</v>
      </c>
      <c r="K84" s="53"/>
      <c r="L84" s="53">
        <f t="shared" si="5"/>
        <v>0</v>
      </c>
    </row>
    <row r="85" spans="1:12">
      <c r="A85" s="83">
        <v>4</v>
      </c>
      <c r="B85" s="84" t="s">
        <v>358</v>
      </c>
      <c r="C85" s="85" t="s">
        <v>293</v>
      </c>
      <c r="D85" s="84" t="s">
        <v>351</v>
      </c>
      <c r="E85" s="86" t="s">
        <v>359</v>
      </c>
      <c r="F85" s="79">
        <v>5000</v>
      </c>
      <c r="G85" s="53">
        <v>4</v>
      </c>
      <c r="H85" s="53">
        <f t="shared" si="3"/>
        <v>4800</v>
      </c>
      <c r="I85" s="53">
        <v>3</v>
      </c>
      <c r="J85" s="53">
        <f t="shared" si="4"/>
        <v>4944</v>
      </c>
      <c r="K85" s="53"/>
      <c r="L85" s="53">
        <f t="shared" si="5"/>
        <v>0</v>
      </c>
    </row>
    <row r="86" spans="1:12">
      <c r="A86" s="83">
        <v>5</v>
      </c>
      <c r="B86" s="84" t="s">
        <v>360</v>
      </c>
      <c r="C86" s="85" t="s">
        <v>295</v>
      </c>
      <c r="D86" s="84" t="s">
        <v>361</v>
      </c>
      <c r="E86" s="86" t="s">
        <v>359</v>
      </c>
      <c r="F86" s="79">
        <v>5550</v>
      </c>
      <c r="G86" s="53">
        <v>4</v>
      </c>
      <c r="H86" s="53">
        <f t="shared" si="3"/>
        <v>5328</v>
      </c>
      <c r="I86" s="53">
        <v>3</v>
      </c>
      <c r="J86" s="53">
        <f t="shared" si="4"/>
        <v>5487.84</v>
      </c>
      <c r="K86" s="53"/>
      <c r="L86" s="53">
        <f t="shared" si="5"/>
        <v>0</v>
      </c>
    </row>
    <row r="87" spans="1:12">
      <c r="A87" s="83">
        <v>6</v>
      </c>
      <c r="B87" s="84" t="s">
        <v>362</v>
      </c>
      <c r="C87" s="85" t="s">
        <v>297</v>
      </c>
      <c r="D87" s="84" t="s">
        <v>356</v>
      </c>
      <c r="E87" s="86" t="s">
        <v>363</v>
      </c>
      <c r="F87" s="79">
        <v>6200</v>
      </c>
      <c r="G87" s="53">
        <v>4</v>
      </c>
      <c r="H87" s="53">
        <f t="shared" si="3"/>
        <v>5952</v>
      </c>
      <c r="I87" s="53">
        <v>3</v>
      </c>
      <c r="J87" s="53">
        <f t="shared" si="4"/>
        <v>6130.56</v>
      </c>
      <c r="K87" s="53"/>
      <c r="L87" s="53">
        <f t="shared" si="5"/>
        <v>0</v>
      </c>
    </row>
    <row r="88" spans="1:12">
      <c r="A88" s="83">
        <v>7</v>
      </c>
      <c r="B88" s="84" t="s">
        <v>364</v>
      </c>
      <c r="C88" s="85" t="s">
        <v>295</v>
      </c>
      <c r="D88" s="84" t="s">
        <v>361</v>
      </c>
      <c r="E88" s="86" t="s">
        <v>359</v>
      </c>
      <c r="F88" s="79">
        <v>6700</v>
      </c>
      <c r="G88" s="53">
        <v>4</v>
      </c>
      <c r="H88" s="53">
        <f t="shared" si="3"/>
        <v>6432</v>
      </c>
      <c r="I88" s="53">
        <v>3</v>
      </c>
      <c r="J88" s="53">
        <f t="shared" si="4"/>
        <v>6624.96</v>
      </c>
      <c r="K88" s="53"/>
      <c r="L88" s="53">
        <f t="shared" si="5"/>
        <v>0</v>
      </c>
    </row>
    <row r="89" spans="1:12">
      <c r="A89" s="83">
        <v>8</v>
      </c>
      <c r="B89" s="84" t="s">
        <v>365</v>
      </c>
      <c r="C89" s="85" t="s">
        <v>297</v>
      </c>
      <c r="D89" s="84" t="s">
        <v>356</v>
      </c>
      <c r="E89" s="86" t="s">
        <v>363</v>
      </c>
      <c r="F89" s="79">
        <v>8000</v>
      </c>
      <c r="G89" s="53">
        <v>4</v>
      </c>
      <c r="H89" s="53">
        <f t="shared" si="3"/>
        <v>7680</v>
      </c>
      <c r="I89" s="53">
        <v>3</v>
      </c>
      <c r="J89" s="53">
        <f t="shared" si="4"/>
        <v>7910.4</v>
      </c>
      <c r="K89" s="53"/>
      <c r="L89" s="53">
        <f t="shared" si="5"/>
        <v>0</v>
      </c>
    </row>
    <row r="90" spans="1:12">
      <c r="A90" s="83">
        <v>9</v>
      </c>
      <c r="B90" s="84" t="s">
        <v>366</v>
      </c>
      <c r="C90" s="85" t="s">
        <v>297</v>
      </c>
      <c r="D90" s="84" t="s">
        <v>356</v>
      </c>
      <c r="E90" s="86" t="s">
        <v>363</v>
      </c>
      <c r="F90" s="79">
        <v>16250</v>
      </c>
      <c r="G90" s="53">
        <v>4</v>
      </c>
      <c r="H90" s="53">
        <f t="shared" si="3"/>
        <v>15600</v>
      </c>
      <c r="I90" s="53">
        <v>3</v>
      </c>
      <c r="J90" s="53">
        <f t="shared" si="4"/>
        <v>16068</v>
      </c>
      <c r="K90" s="53"/>
      <c r="L90" s="53">
        <f t="shared" si="5"/>
        <v>0</v>
      </c>
    </row>
    <row r="91" spans="1:12">
      <c r="A91" s="104" t="s">
        <v>474</v>
      </c>
      <c r="B91" s="105"/>
      <c r="C91" s="105"/>
      <c r="D91" s="105"/>
      <c r="E91" s="106"/>
      <c r="F91" s="105"/>
      <c r="G91" s="53"/>
      <c r="H91" s="53">
        <f t="shared" si="3"/>
        <v>0</v>
      </c>
      <c r="I91" s="53"/>
      <c r="J91" s="53">
        <f t="shared" si="4"/>
        <v>0</v>
      </c>
      <c r="K91" s="53"/>
      <c r="L91" s="53">
        <f t="shared" si="5"/>
        <v>0</v>
      </c>
    </row>
    <row r="92" spans="1:12">
      <c r="A92" s="83">
        <v>1</v>
      </c>
      <c r="B92" s="84" t="s">
        <v>367</v>
      </c>
      <c r="C92" s="85" t="s">
        <v>293</v>
      </c>
      <c r="D92" s="84" t="s">
        <v>351</v>
      </c>
      <c r="E92" s="86" t="s">
        <v>368</v>
      </c>
      <c r="F92" s="79">
        <v>6350</v>
      </c>
      <c r="G92" s="53">
        <v>4</v>
      </c>
      <c r="H92" s="53">
        <f t="shared" si="3"/>
        <v>6096</v>
      </c>
      <c r="I92" s="53">
        <v>3</v>
      </c>
      <c r="J92" s="53">
        <f t="shared" si="4"/>
        <v>6278.88</v>
      </c>
      <c r="K92" s="53"/>
      <c r="L92" s="53">
        <f t="shared" si="5"/>
        <v>0</v>
      </c>
    </row>
    <row r="93" spans="1:12">
      <c r="A93" s="83">
        <v>2</v>
      </c>
      <c r="B93" s="84" t="s">
        <v>369</v>
      </c>
      <c r="C93" s="85" t="s">
        <v>295</v>
      </c>
      <c r="D93" s="84" t="s">
        <v>361</v>
      </c>
      <c r="E93" s="86" t="s">
        <v>370</v>
      </c>
      <c r="F93" s="79">
        <v>6950</v>
      </c>
      <c r="G93" s="53">
        <v>4</v>
      </c>
      <c r="H93" s="53">
        <f t="shared" si="3"/>
        <v>6672</v>
      </c>
      <c r="I93" s="53">
        <v>3</v>
      </c>
      <c r="J93" s="53">
        <f t="shared" si="4"/>
        <v>6872.16</v>
      </c>
      <c r="K93" s="53"/>
      <c r="L93" s="53">
        <f t="shared" si="5"/>
        <v>0</v>
      </c>
    </row>
    <row r="94" spans="1:12">
      <c r="A94" s="83">
        <v>3</v>
      </c>
      <c r="B94" s="84" t="s">
        <v>371</v>
      </c>
      <c r="C94" s="85" t="s">
        <v>297</v>
      </c>
      <c r="D94" s="84" t="s">
        <v>356</v>
      </c>
      <c r="E94" s="86" t="s">
        <v>372</v>
      </c>
      <c r="F94" s="79">
        <v>8350</v>
      </c>
      <c r="G94" s="53">
        <v>4</v>
      </c>
      <c r="H94" s="53">
        <f t="shared" si="3"/>
        <v>8016</v>
      </c>
      <c r="I94" s="53">
        <v>3</v>
      </c>
      <c r="J94" s="53">
        <f t="shared" si="4"/>
        <v>8256.48</v>
      </c>
      <c r="K94" s="53"/>
      <c r="L94" s="53">
        <f t="shared" si="5"/>
        <v>0</v>
      </c>
    </row>
    <row r="95" spans="1:12">
      <c r="A95" s="83">
        <v>4</v>
      </c>
      <c r="B95" s="84" t="s">
        <v>373</v>
      </c>
      <c r="C95" s="85" t="s">
        <v>295</v>
      </c>
      <c r="D95" s="84" t="s">
        <v>361</v>
      </c>
      <c r="E95" s="86" t="s">
        <v>374</v>
      </c>
      <c r="F95" s="79">
        <v>9000</v>
      </c>
      <c r="G95" s="53">
        <v>4</v>
      </c>
      <c r="H95" s="53">
        <f t="shared" si="3"/>
        <v>8640</v>
      </c>
      <c r="I95" s="53">
        <v>3</v>
      </c>
      <c r="J95" s="53">
        <f t="shared" si="4"/>
        <v>8899.2000000000007</v>
      </c>
      <c r="K95" s="53"/>
      <c r="L95" s="53">
        <f t="shared" si="5"/>
        <v>0</v>
      </c>
    </row>
    <row r="96" spans="1:12">
      <c r="A96" s="83">
        <v>5</v>
      </c>
      <c r="B96" s="84" t="s">
        <v>375</v>
      </c>
      <c r="C96" s="85" t="s">
        <v>297</v>
      </c>
      <c r="D96" s="84" t="s">
        <v>356</v>
      </c>
      <c r="E96" s="86" t="s">
        <v>376</v>
      </c>
      <c r="F96" s="79">
        <v>9950</v>
      </c>
      <c r="G96" s="53">
        <v>4</v>
      </c>
      <c r="H96" s="53">
        <f t="shared" si="3"/>
        <v>9552</v>
      </c>
      <c r="I96" s="53">
        <v>3</v>
      </c>
      <c r="J96" s="53">
        <f t="shared" si="4"/>
        <v>9838.56</v>
      </c>
      <c r="K96" s="53"/>
      <c r="L96" s="53">
        <f t="shared" si="5"/>
        <v>0</v>
      </c>
    </row>
    <row r="97" spans="1:12">
      <c r="A97" s="83">
        <v>6</v>
      </c>
      <c r="B97" s="84" t="s">
        <v>377</v>
      </c>
      <c r="C97" s="85" t="s">
        <v>317</v>
      </c>
      <c r="D97" s="84" t="s">
        <v>378</v>
      </c>
      <c r="E97" s="86" t="s">
        <v>379</v>
      </c>
      <c r="F97" s="79">
        <v>12000</v>
      </c>
      <c r="G97" s="53">
        <v>4</v>
      </c>
      <c r="H97" s="53">
        <f t="shared" si="3"/>
        <v>11520</v>
      </c>
      <c r="I97" s="53">
        <v>3</v>
      </c>
      <c r="J97" s="53">
        <f t="shared" si="4"/>
        <v>11865.6</v>
      </c>
      <c r="K97" s="53"/>
      <c r="L97" s="53">
        <f t="shared" si="5"/>
        <v>0</v>
      </c>
    </row>
    <row r="98" spans="1:12">
      <c r="A98" s="83">
        <v>7</v>
      </c>
      <c r="B98" s="84" t="s">
        <v>380</v>
      </c>
      <c r="C98" s="85" t="s">
        <v>297</v>
      </c>
      <c r="D98" s="84" t="s">
        <v>356</v>
      </c>
      <c r="E98" s="86" t="s">
        <v>381</v>
      </c>
      <c r="F98" s="79">
        <v>19500</v>
      </c>
      <c r="G98" s="53">
        <v>4</v>
      </c>
      <c r="H98" s="53">
        <f t="shared" si="3"/>
        <v>18720</v>
      </c>
      <c r="I98" s="53">
        <v>3</v>
      </c>
      <c r="J98" s="53">
        <f t="shared" si="4"/>
        <v>19281.599999999999</v>
      </c>
      <c r="K98" s="53"/>
      <c r="L98" s="53">
        <f t="shared" si="5"/>
        <v>0</v>
      </c>
    </row>
    <row r="99" spans="1:12">
      <c r="A99" s="83">
        <v>8</v>
      </c>
      <c r="B99" s="84" t="s">
        <v>382</v>
      </c>
      <c r="C99" s="85" t="s">
        <v>317</v>
      </c>
      <c r="D99" s="84" t="s">
        <v>378</v>
      </c>
      <c r="E99" s="86" t="s">
        <v>383</v>
      </c>
      <c r="F99" s="79">
        <v>24500</v>
      </c>
      <c r="G99" s="53">
        <v>4</v>
      </c>
      <c r="H99" s="53">
        <f t="shared" si="3"/>
        <v>23520</v>
      </c>
      <c r="I99" s="53">
        <v>3</v>
      </c>
      <c r="J99" s="53">
        <f t="shared" si="4"/>
        <v>24225.599999999999</v>
      </c>
      <c r="K99" s="53"/>
      <c r="L99" s="53">
        <f t="shared" si="5"/>
        <v>0</v>
      </c>
    </row>
    <row r="100" spans="1:12">
      <c r="A100" s="83">
        <v>9</v>
      </c>
      <c r="B100" s="84" t="s">
        <v>384</v>
      </c>
      <c r="C100" s="85" t="s">
        <v>317</v>
      </c>
      <c r="D100" s="84" t="s">
        <v>378</v>
      </c>
      <c r="E100" s="86" t="s">
        <v>385</v>
      </c>
      <c r="F100" s="79">
        <v>41500</v>
      </c>
      <c r="G100" s="53">
        <v>4</v>
      </c>
      <c r="H100" s="53">
        <f t="shared" si="3"/>
        <v>39840</v>
      </c>
      <c r="I100" s="53">
        <v>3</v>
      </c>
      <c r="J100" s="53">
        <f t="shared" si="4"/>
        <v>41035.199999999997</v>
      </c>
      <c r="K100" s="53"/>
      <c r="L100" s="53">
        <f t="shared" si="5"/>
        <v>0</v>
      </c>
    </row>
    <row r="101" spans="1:12">
      <c r="A101" s="83">
        <v>10</v>
      </c>
      <c r="B101" s="84" t="s">
        <v>386</v>
      </c>
      <c r="C101" s="85" t="s">
        <v>387</v>
      </c>
      <c r="D101" s="84" t="s">
        <v>388</v>
      </c>
      <c r="E101" s="86" t="s">
        <v>389</v>
      </c>
      <c r="F101" s="79">
        <v>33500</v>
      </c>
      <c r="G101" s="53">
        <v>4</v>
      </c>
      <c r="H101" s="53">
        <f t="shared" si="3"/>
        <v>32160</v>
      </c>
      <c r="I101" s="53">
        <v>3</v>
      </c>
      <c r="J101" s="53">
        <f t="shared" si="4"/>
        <v>33124.800000000003</v>
      </c>
      <c r="K101" s="53"/>
      <c r="L101" s="53">
        <f t="shared" si="5"/>
        <v>0</v>
      </c>
    </row>
    <row r="102" spans="1:12">
      <c r="A102" s="99" t="s">
        <v>475</v>
      </c>
      <c r="B102" s="100"/>
      <c r="C102" s="100"/>
      <c r="D102" s="100"/>
      <c r="E102" s="101"/>
      <c r="F102" s="100"/>
      <c r="G102" s="54"/>
      <c r="H102" s="54">
        <f t="shared" si="3"/>
        <v>0</v>
      </c>
      <c r="I102" s="54"/>
      <c r="J102" s="54">
        <f t="shared" si="4"/>
        <v>0</v>
      </c>
      <c r="K102" s="54"/>
      <c r="L102" s="54">
        <f t="shared" si="5"/>
        <v>0</v>
      </c>
    </row>
    <row r="103" spans="1:12">
      <c r="A103" s="107" t="s">
        <v>462</v>
      </c>
      <c r="B103" s="107" t="s">
        <v>463</v>
      </c>
      <c r="C103" s="107" t="s">
        <v>476</v>
      </c>
      <c r="D103" s="107" t="s">
        <v>477</v>
      </c>
      <c r="E103" s="108" t="s">
        <v>466</v>
      </c>
      <c r="F103" s="64"/>
      <c r="G103" s="53"/>
      <c r="H103" s="53">
        <f t="shared" si="3"/>
        <v>0</v>
      </c>
      <c r="I103" s="53"/>
      <c r="J103" s="53">
        <f t="shared" si="4"/>
        <v>0</v>
      </c>
      <c r="K103" s="53"/>
      <c r="L103" s="53">
        <f t="shared" si="5"/>
        <v>0</v>
      </c>
    </row>
    <row r="104" spans="1:12">
      <c r="A104" s="109" t="s">
        <v>478</v>
      </c>
      <c r="B104" s="110"/>
      <c r="C104" s="110"/>
      <c r="D104" s="110"/>
      <c r="E104" s="111"/>
      <c r="F104" s="110"/>
      <c r="G104" s="53"/>
      <c r="H104" s="53">
        <f t="shared" si="3"/>
        <v>0</v>
      </c>
      <c r="I104" s="53"/>
      <c r="J104" s="53">
        <f t="shared" si="4"/>
        <v>0</v>
      </c>
      <c r="K104" s="53"/>
      <c r="L104" s="53">
        <f t="shared" si="5"/>
        <v>0</v>
      </c>
    </row>
    <row r="105" spans="1:12">
      <c r="A105" s="83">
        <v>1</v>
      </c>
      <c r="B105" s="84" t="s">
        <v>390</v>
      </c>
      <c r="C105" s="85" t="s">
        <v>391</v>
      </c>
      <c r="D105" s="84" t="s">
        <v>392</v>
      </c>
      <c r="E105" s="86" t="s">
        <v>393</v>
      </c>
      <c r="F105" s="79">
        <v>4060</v>
      </c>
      <c r="G105" s="53">
        <v>4</v>
      </c>
      <c r="H105" s="53">
        <f t="shared" si="3"/>
        <v>3897.6</v>
      </c>
      <c r="I105" s="53">
        <v>3</v>
      </c>
      <c r="J105" s="53">
        <f t="shared" si="4"/>
        <v>4014.5279999999998</v>
      </c>
      <c r="K105" s="53"/>
      <c r="L105" s="53">
        <f t="shared" si="5"/>
        <v>0</v>
      </c>
    </row>
    <row r="106" spans="1:12">
      <c r="A106" s="83">
        <v>2</v>
      </c>
      <c r="B106" s="84" t="s">
        <v>394</v>
      </c>
      <c r="C106" s="85" t="s">
        <v>391</v>
      </c>
      <c r="D106" s="84" t="s">
        <v>392</v>
      </c>
      <c r="E106" s="86" t="s">
        <v>395</v>
      </c>
      <c r="F106" s="79">
        <v>4350</v>
      </c>
      <c r="G106" s="53">
        <v>4</v>
      </c>
      <c r="H106" s="53">
        <f t="shared" si="3"/>
        <v>4176</v>
      </c>
      <c r="I106" s="53">
        <v>3</v>
      </c>
      <c r="J106" s="53">
        <f t="shared" si="4"/>
        <v>4301.28</v>
      </c>
      <c r="K106" s="53"/>
      <c r="L106" s="53">
        <f t="shared" si="5"/>
        <v>0</v>
      </c>
    </row>
    <row r="107" spans="1:12">
      <c r="A107" s="83">
        <v>3</v>
      </c>
      <c r="B107" s="84" t="s">
        <v>396</v>
      </c>
      <c r="C107" s="85" t="s">
        <v>397</v>
      </c>
      <c r="D107" s="84" t="s">
        <v>392</v>
      </c>
      <c r="E107" s="86" t="s">
        <v>398</v>
      </c>
      <c r="F107" s="79">
        <v>2900</v>
      </c>
      <c r="G107" s="53">
        <v>4</v>
      </c>
      <c r="H107" s="53">
        <f t="shared" si="3"/>
        <v>2784</v>
      </c>
      <c r="I107" s="53">
        <v>3</v>
      </c>
      <c r="J107" s="53">
        <f t="shared" si="4"/>
        <v>2867.52</v>
      </c>
      <c r="K107" s="53"/>
      <c r="L107" s="53">
        <f t="shared" si="5"/>
        <v>0</v>
      </c>
    </row>
    <row r="108" spans="1:12">
      <c r="A108" s="109" t="s">
        <v>479</v>
      </c>
      <c r="B108" s="110"/>
      <c r="C108" s="110"/>
      <c r="D108" s="110"/>
      <c r="E108" s="111"/>
      <c r="F108" s="110"/>
      <c r="G108" s="53"/>
      <c r="H108" s="53">
        <f t="shared" si="3"/>
        <v>0</v>
      </c>
      <c r="I108" s="53"/>
      <c r="J108" s="53">
        <f t="shared" si="4"/>
        <v>0</v>
      </c>
      <c r="K108" s="53"/>
      <c r="L108" s="53">
        <f t="shared" si="5"/>
        <v>0</v>
      </c>
    </row>
    <row r="109" spans="1:12">
      <c r="A109" s="83">
        <v>1</v>
      </c>
      <c r="B109" s="84" t="s">
        <v>399</v>
      </c>
      <c r="C109" s="85" t="s">
        <v>391</v>
      </c>
      <c r="D109" s="84" t="s">
        <v>392</v>
      </c>
      <c r="E109" s="86" t="s">
        <v>400</v>
      </c>
      <c r="F109" s="79">
        <v>14990</v>
      </c>
      <c r="G109" s="53">
        <v>4</v>
      </c>
      <c r="H109" s="53">
        <f t="shared" si="3"/>
        <v>14390.4</v>
      </c>
      <c r="I109" s="53">
        <v>3</v>
      </c>
      <c r="J109" s="53">
        <f t="shared" si="4"/>
        <v>14822.111999999999</v>
      </c>
      <c r="K109" s="53"/>
      <c r="L109" s="53">
        <f t="shared" si="5"/>
        <v>0</v>
      </c>
    </row>
    <row r="110" spans="1:12">
      <c r="A110" s="83">
        <v>2</v>
      </c>
      <c r="B110" s="84" t="s">
        <v>401</v>
      </c>
      <c r="C110" s="85" t="s">
        <v>391</v>
      </c>
      <c r="D110" s="84" t="s">
        <v>392</v>
      </c>
      <c r="E110" s="86" t="s">
        <v>402</v>
      </c>
      <c r="F110" s="79">
        <v>11850</v>
      </c>
      <c r="G110" s="53">
        <v>4</v>
      </c>
      <c r="H110" s="53">
        <f t="shared" si="3"/>
        <v>11376</v>
      </c>
      <c r="I110" s="53">
        <v>3</v>
      </c>
      <c r="J110" s="53">
        <f t="shared" si="4"/>
        <v>11717.28</v>
      </c>
      <c r="K110" s="53"/>
      <c r="L110" s="53">
        <f t="shared" si="5"/>
        <v>0</v>
      </c>
    </row>
    <row r="111" spans="1:12">
      <c r="A111" s="83">
        <v>3</v>
      </c>
      <c r="B111" s="84" t="s">
        <v>403</v>
      </c>
      <c r="C111" s="85" t="s">
        <v>397</v>
      </c>
      <c r="D111" s="84" t="s">
        <v>392</v>
      </c>
      <c r="E111" s="86" t="s">
        <v>404</v>
      </c>
      <c r="F111" s="79">
        <v>5500</v>
      </c>
      <c r="G111" s="53">
        <v>4</v>
      </c>
      <c r="H111" s="53">
        <f t="shared" si="3"/>
        <v>5280</v>
      </c>
      <c r="I111" s="53">
        <v>3</v>
      </c>
      <c r="J111" s="53">
        <f t="shared" si="4"/>
        <v>5438.4</v>
      </c>
      <c r="K111" s="53"/>
      <c r="L111" s="53">
        <f t="shared" si="5"/>
        <v>0</v>
      </c>
    </row>
    <row r="112" spans="1:12">
      <c r="A112" s="83">
        <v>4</v>
      </c>
      <c r="B112" s="84" t="s">
        <v>405</v>
      </c>
      <c r="C112" s="85" t="s">
        <v>406</v>
      </c>
      <c r="D112" s="84" t="s">
        <v>407</v>
      </c>
      <c r="E112" s="86" t="s">
        <v>408</v>
      </c>
      <c r="F112" s="79">
        <v>8900</v>
      </c>
      <c r="G112" s="53">
        <v>4</v>
      </c>
      <c r="H112" s="53">
        <f t="shared" si="3"/>
        <v>8544</v>
      </c>
      <c r="I112" s="53">
        <v>3</v>
      </c>
      <c r="J112" s="53">
        <f t="shared" si="4"/>
        <v>8800.32</v>
      </c>
      <c r="K112" s="53"/>
      <c r="L112" s="53">
        <f t="shared" si="5"/>
        <v>0</v>
      </c>
    </row>
    <row r="113" spans="1:12">
      <c r="A113" s="99" t="s">
        <v>480</v>
      </c>
      <c r="B113" s="100"/>
      <c r="C113" s="100"/>
      <c r="D113" s="100"/>
      <c r="E113" s="101"/>
      <c r="F113" s="100"/>
      <c r="G113" s="54"/>
      <c r="H113" s="54">
        <f t="shared" si="3"/>
        <v>0</v>
      </c>
      <c r="I113" s="54"/>
      <c r="J113" s="54">
        <f t="shared" si="4"/>
        <v>0</v>
      </c>
      <c r="K113" s="54"/>
      <c r="L113" s="54">
        <f t="shared" si="5"/>
        <v>0</v>
      </c>
    </row>
    <row r="114" spans="1:12">
      <c r="A114" s="112" t="s">
        <v>462</v>
      </c>
      <c r="B114" s="112" t="s">
        <v>463</v>
      </c>
      <c r="C114" s="112" t="s">
        <v>481</v>
      </c>
      <c r="D114" s="112" t="s">
        <v>482</v>
      </c>
      <c r="E114" s="113" t="s">
        <v>466</v>
      </c>
      <c r="F114" s="65"/>
      <c r="G114" s="53"/>
      <c r="H114" s="53">
        <f t="shared" si="3"/>
        <v>0</v>
      </c>
      <c r="I114" s="53"/>
      <c r="J114" s="53">
        <f t="shared" si="4"/>
        <v>0</v>
      </c>
      <c r="K114" s="53"/>
      <c r="L114" s="53">
        <f t="shared" si="5"/>
        <v>0</v>
      </c>
    </row>
    <row r="115" spans="1:12">
      <c r="A115" s="114" t="s">
        <v>483</v>
      </c>
      <c r="B115" s="115"/>
      <c r="C115" s="115"/>
      <c r="D115" s="115"/>
      <c r="E115" s="116"/>
      <c r="F115" s="115"/>
      <c r="G115" s="53"/>
      <c r="H115" s="53">
        <f t="shared" si="3"/>
        <v>0</v>
      </c>
      <c r="I115" s="53"/>
      <c r="J115" s="53">
        <f t="shared" si="4"/>
        <v>0</v>
      </c>
      <c r="K115" s="53"/>
      <c r="L115" s="53">
        <f t="shared" si="5"/>
        <v>0</v>
      </c>
    </row>
    <row r="116" spans="1:12">
      <c r="A116" s="83">
        <v>1</v>
      </c>
      <c r="B116" s="84" t="s">
        <v>409</v>
      </c>
      <c r="C116" s="84" t="s">
        <v>407</v>
      </c>
      <c r="D116" s="83">
        <v>1000</v>
      </c>
      <c r="E116" s="86" t="s">
        <v>410</v>
      </c>
      <c r="F116" s="62"/>
      <c r="G116" s="53"/>
      <c r="H116" s="53">
        <f t="shared" si="3"/>
        <v>0</v>
      </c>
      <c r="I116" s="53"/>
      <c r="J116" s="53">
        <f t="shared" si="4"/>
        <v>0</v>
      </c>
      <c r="K116" s="53"/>
      <c r="L116" s="53">
        <f t="shared" si="5"/>
        <v>0</v>
      </c>
    </row>
    <row r="117" spans="1:12">
      <c r="A117" s="83">
        <v>2</v>
      </c>
      <c r="B117" s="84" t="s">
        <v>411</v>
      </c>
      <c r="C117" s="84" t="s">
        <v>407</v>
      </c>
      <c r="D117" s="83">
        <v>1000</v>
      </c>
      <c r="E117" s="86" t="s">
        <v>412</v>
      </c>
      <c r="F117" s="62"/>
      <c r="G117" s="53"/>
      <c r="H117" s="53">
        <f t="shared" si="3"/>
        <v>0</v>
      </c>
      <c r="I117" s="53"/>
      <c r="J117" s="53">
        <f t="shared" si="4"/>
        <v>0</v>
      </c>
      <c r="K117" s="53"/>
      <c r="L117" s="53">
        <f t="shared" si="5"/>
        <v>0</v>
      </c>
    </row>
    <row r="118" spans="1:12">
      <c r="A118" s="83">
        <v>3</v>
      </c>
      <c r="B118" s="84" t="s">
        <v>413</v>
      </c>
      <c r="C118" s="83">
        <v>1500</v>
      </c>
      <c r="D118" s="84" t="s">
        <v>407</v>
      </c>
      <c r="E118" s="86" t="s">
        <v>414</v>
      </c>
      <c r="F118" s="62"/>
      <c r="G118" s="53"/>
      <c r="H118" s="53">
        <f t="shared" si="3"/>
        <v>0</v>
      </c>
      <c r="I118" s="53"/>
      <c r="J118" s="53">
        <f t="shared" si="4"/>
        <v>0</v>
      </c>
      <c r="K118" s="53"/>
      <c r="L118" s="53">
        <f t="shared" si="5"/>
        <v>0</v>
      </c>
    </row>
    <row r="119" spans="1:12">
      <c r="A119" s="83">
        <v>4</v>
      </c>
      <c r="B119" s="84" t="s">
        <v>415</v>
      </c>
      <c r="C119" s="83">
        <v>1500</v>
      </c>
      <c r="D119" s="83">
        <v>3000</v>
      </c>
      <c r="E119" s="86" t="s">
        <v>416</v>
      </c>
      <c r="F119" s="62"/>
      <c r="G119" s="53"/>
      <c r="H119" s="53">
        <f t="shared" si="3"/>
        <v>0</v>
      </c>
      <c r="I119" s="53"/>
      <c r="J119" s="53">
        <f t="shared" si="4"/>
        <v>0</v>
      </c>
      <c r="K119" s="53"/>
      <c r="L119" s="53">
        <f t="shared" si="5"/>
        <v>0</v>
      </c>
    </row>
    <row r="120" spans="1:12">
      <c r="A120" s="114" t="s">
        <v>484</v>
      </c>
      <c r="B120" s="115"/>
      <c r="C120" s="115"/>
      <c r="D120" s="115"/>
      <c r="E120" s="116"/>
      <c r="F120" s="115"/>
      <c r="G120" s="53"/>
      <c r="H120" s="53">
        <f t="shared" si="3"/>
        <v>0</v>
      </c>
      <c r="I120" s="53"/>
      <c r="J120" s="53">
        <f t="shared" si="4"/>
        <v>0</v>
      </c>
      <c r="K120" s="53"/>
      <c r="L120" s="53">
        <f t="shared" si="5"/>
        <v>0</v>
      </c>
    </row>
    <row r="121" spans="1:12">
      <c r="A121" s="83">
        <v>1</v>
      </c>
      <c r="B121" s="84" t="s">
        <v>417</v>
      </c>
      <c r="C121" s="84" t="s">
        <v>407</v>
      </c>
      <c r="D121" s="83">
        <v>1000</v>
      </c>
      <c r="E121" s="86" t="s">
        <v>410</v>
      </c>
      <c r="F121" s="62"/>
      <c r="G121" s="53"/>
      <c r="H121" s="53">
        <f t="shared" si="3"/>
        <v>0</v>
      </c>
      <c r="I121" s="53"/>
      <c r="J121" s="53">
        <f t="shared" si="4"/>
        <v>0</v>
      </c>
      <c r="K121" s="53"/>
      <c r="L121" s="53">
        <f t="shared" si="5"/>
        <v>0</v>
      </c>
    </row>
    <row r="122" spans="1:12">
      <c r="A122" s="83">
        <v>2</v>
      </c>
      <c r="B122" s="84" t="s">
        <v>418</v>
      </c>
      <c r="C122" s="83">
        <v>500</v>
      </c>
      <c r="D122" s="84" t="s">
        <v>407</v>
      </c>
      <c r="E122" s="86" t="s">
        <v>419</v>
      </c>
      <c r="F122" s="62"/>
      <c r="G122" s="53"/>
      <c r="H122" s="53">
        <f t="shared" si="3"/>
        <v>0</v>
      </c>
      <c r="I122" s="53"/>
      <c r="J122" s="53">
        <f t="shared" si="4"/>
        <v>0</v>
      </c>
      <c r="K122" s="53"/>
      <c r="L122" s="53">
        <f t="shared" si="5"/>
        <v>0</v>
      </c>
    </row>
    <row r="123" spans="1:12">
      <c r="A123" s="83">
        <v>3</v>
      </c>
      <c r="B123" s="84" t="s">
        <v>420</v>
      </c>
      <c r="C123" s="83">
        <v>500</v>
      </c>
      <c r="D123" s="83">
        <v>1000</v>
      </c>
      <c r="E123" s="86" t="s">
        <v>419</v>
      </c>
      <c r="F123" s="79">
        <v>4350</v>
      </c>
      <c r="G123" s="53">
        <v>4</v>
      </c>
      <c r="H123" s="53">
        <f t="shared" si="3"/>
        <v>4176</v>
      </c>
      <c r="I123" s="53">
        <v>3</v>
      </c>
      <c r="J123" s="53">
        <f t="shared" si="4"/>
        <v>4301.28</v>
      </c>
      <c r="K123" s="53"/>
      <c r="L123" s="53">
        <f t="shared" si="5"/>
        <v>0</v>
      </c>
    </row>
    <row r="124" spans="1:12">
      <c r="A124" s="83">
        <v>4</v>
      </c>
      <c r="B124" s="84" t="s">
        <v>421</v>
      </c>
      <c r="C124" s="83">
        <v>500</v>
      </c>
      <c r="D124" s="83">
        <v>1000</v>
      </c>
      <c r="E124" s="86" t="s">
        <v>422</v>
      </c>
      <c r="F124" s="79">
        <v>5400</v>
      </c>
      <c r="G124" s="53">
        <v>4</v>
      </c>
      <c r="H124" s="53">
        <f t="shared" si="3"/>
        <v>5184</v>
      </c>
      <c r="I124" s="53">
        <v>3</v>
      </c>
      <c r="J124" s="53">
        <f t="shared" si="4"/>
        <v>5339.52</v>
      </c>
      <c r="K124" s="53"/>
      <c r="L124" s="53">
        <f t="shared" si="5"/>
        <v>0</v>
      </c>
    </row>
    <row r="125" spans="1:12">
      <c r="A125" s="83">
        <v>5</v>
      </c>
      <c r="B125" s="84" t="s">
        <v>423</v>
      </c>
      <c r="C125" s="83">
        <v>1000</v>
      </c>
      <c r="D125" s="84" t="s">
        <v>407</v>
      </c>
      <c r="E125" s="86" t="s">
        <v>424</v>
      </c>
      <c r="F125" s="62"/>
      <c r="G125" s="53"/>
      <c r="H125" s="53">
        <f t="shared" si="3"/>
        <v>0</v>
      </c>
      <c r="I125" s="53"/>
      <c r="J125" s="53">
        <f t="shared" si="4"/>
        <v>0</v>
      </c>
      <c r="K125" s="53"/>
      <c r="L125" s="53">
        <f t="shared" si="5"/>
        <v>0</v>
      </c>
    </row>
    <row r="126" spans="1:12">
      <c r="A126" s="83">
        <v>6</v>
      </c>
      <c r="B126" s="84" t="s">
        <v>425</v>
      </c>
      <c r="C126" s="83">
        <v>1500</v>
      </c>
      <c r="D126" s="84" t="s">
        <v>407</v>
      </c>
      <c r="E126" s="86" t="s">
        <v>426</v>
      </c>
      <c r="F126" s="62"/>
      <c r="G126" s="53"/>
      <c r="H126" s="53">
        <f t="shared" si="3"/>
        <v>0</v>
      </c>
      <c r="I126" s="53"/>
      <c r="J126" s="53">
        <f t="shared" si="4"/>
        <v>0</v>
      </c>
      <c r="K126" s="53"/>
      <c r="L126" s="53">
        <f t="shared" si="5"/>
        <v>0</v>
      </c>
    </row>
    <row r="127" spans="1:12">
      <c r="A127" s="83">
        <v>7</v>
      </c>
      <c r="B127" s="84" t="s">
        <v>427</v>
      </c>
      <c r="C127" s="83">
        <v>1500</v>
      </c>
      <c r="D127" s="83">
        <v>3000</v>
      </c>
      <c r="E127" s="86" t="s">
        <v>426</v>
      </c>
      <c r="F127" s="62"/>
      <c r="G127" s="53"/>
      <c r="H127" s="53">
        <f t="shared" si="3"/>
        <v>0</v>
      </c>
      <c r="I127" s="53"/>
      <c r="J127" s="53">
        <f t="shared" si="4"/>
        <v>0</v>
      </c>
      <c r="K127" s="53"/>
      <c r="L127" s="53">
        <f t="shared" si="5"/>
        <v>0</v>
      </c>
    </row>
    <row r="128" spans="1:12">
      <c r="A128" s="83">
        <v>8</v>
      </c>
      <c r="B128" s="84" t="s">
        <v>428</v>
      </c>
      <c r="C128" s="83">
        <v>1500</v>
      </c>
      <c r="D128" s="83">
        <v>3000</v>
      </c>
      <c r="E128" s="86" t="s">
        <v>429</v>
      </c>
      <c r="F128" s="62"/>
      <c r="G128" s="53"/>
      <c r="H128" s="53">
        <f t="shared" si="3"/>
        <v>0</v>
      </c>
      <c r="I128" s="53"/>
      <c r="J128" s="53">
        <f t="shared" si="4"/>
        <v>0</v>
      </c>
      <c r="K128" s="53"/>
      <c r="L128" s="53">
        <f t="shared" si="5"/>
        <v>0</v>
      </c>
    </row>
    <row r="129" spans="1:12">
      <c r="A129" s="83">
        <v>9</v>
      </c>
      <c r="B129" s="84" t="s">
        <v>430</v>
      </c>
      <c r="C129" s="83">
        <v>1500</v>
      </c>
      <c r="D129" s="83">
        <v>3000</v>
      </c>
      <c r="E129" s="86" t="s">
        <v>429</v>
      </c>
      <c r="F129" s="62"/>
      <c r="G129" s="53"/>
      <c r="H129" s="53">
        <f t="shared" si="3"/>
        <v>0</v>
      </c>
      <c r="I129" s="53"/>
      <c r="J129" s="53">
        <f t="shared" si="4"/>
        <v>0</v>
      </c>
      <c r="K129" s="53"/>
      <c r="L129" s="53">
        <f t="shared" si="5"/>
        <v>0</v>
      </c>
    </row>
    <row r="130" spans="1:12">
      <c r="A130" s="83">
        <v>10</v>
      </c>
      <c r="B130" s="84" t="s">
        <v>431</v>
      </c>
      <c r="C130" s="83">
        <v>3000</v>
      </c>
      <c r="D130" s="83">
        <v>3000</v>
      </c>
      <c r="E130" s="86" t="s">
        <v>432</v>
      </c>
      <c r="F130" s="62"/>
      <c r="G130" s="53"/>
      <c r="H130" s="53">
        <f t="shared" si="3"/>
        <v>0</v>
      </c>
      <c r="I130" s="53"/>
      <c r="J130" s="53">
        <f t="shared" si="4"/>
        <v>0</v>
      </c>
      <c r="K130" s="53"/>
      <c r="L130" s="53">
        <f t="shared" si="5"/>
        <v>0</v>
      </c>
    </row>
    <row r="131" spans="1:12">
      <c r="A131" s="117" t="s">
        <v>0</v>
      </c>
      <c r="B131" s="118"/>
      <c r="C131" s="118"/>
      <c r="D131" s="118"/>
      <c r="E131" s="119"/>
      <c r="F131" s="118"/>
      <c r="G131" s="54"/>
      <c r="H131" s="54">
        <f t="shared" si="3"/>
        <v>0</v>
      </c>
      <c r="I131" s="54"/>
      <c r="J131" s="54">
        <f t="shared" si="4"/>
        <v>0</v>
      </c>
      <c r="K131" s="54"/>
      <c r="L131" s="54">
        <f t="shared" si="5"/>
        <v>0</v>
      </c>
    </row>
    <row r="132" spans="1:12">
      <c r="A132" s="112" t="s">
        <v>462</v>
      </c>
      <c r="B132" s="112" t="s">
        <v>463</v>
      </c>
      <c r="C132" s="120" t="s">
        <v>477</v>
      </c>
      <c r="D132" s="121"/>
      <c r="E132" s="113" t="s">
        <v>466</v>
      </c>
      <c r="F132" s="65"/>
      <c r="G132" s="53"/>
      <c r="H132" s="53">
        <f t="shared" ref="H132:H135" si="6">F132-(F132*G132/100)</f>
        <v>0</v>
      </c>
      <c r="I132" s="53"/>
      <c r="J132" s="53">
        <f t="shared" ref="J132:J135" si="7">H132+(H132*I132/100)</f>
        <v>0</v>
      </c>
      <c r="K132" s="53"/>
      <c r="L132" s="53">
        <f t="shared" ref="L132:L135" si="8">J132*K132</f>
        <v>0</v>
      </c>
    </row>
    <row r="133" spans="1:12">
      <c r="A133" s="83">
        <v>1</v>
      </c>
      <c r="B133" s="84" t="s">
        <v>433</v>
      </c>
      <c r="C133" s="122" t="s">
        <v>434</v>
      </c>
      <c r="D133" s="123"/>
      <c r="E133" s="86" t="s">
        <v>435</v>
      </c>
      <c r="F133" s="124">
        <v>4250</v>
      </c>
      <c r="G133" s="53">
        <v>4</v>
      </c>
      <c r="H133" s="53">
        <f t="shared" si="6"/>
        <v>4080</v>
      </c>
      <c r="I133" s="53">
        <v>3</v>
      </c>
      <c r="J133" s="53">
        <f t="shared" si="7"/>
        <v>4202.3999999999996</v>
      </c>
      <c r="K133" s="53"/>
      <c r="L133" s="53">
        <f t="shared" si="8"/>
        <v>0</v>
      </c>
    </row>
    <row r="134" spans="1:12">
      <c r="A134" s="83">
        <v>2</v>
      </c>
      <c r="B134" s="84" t="s">
        <v>436</v>
      </c>
      <c r="C134" s="122" t="s">
        <v>437</v>
      </c>
      <c r="D134" s="123"/>
      <c r="E134" s="58" t="s">
        <v>485</v>
      </c>
      <c r="F134" s="124">
        <v>10900</v>
      </c>
      <c r="G134" s="53">
        <v>4</v>
      </c>
      <c r="H134" s="53">
        <f t="shared" si="6"/>
        <v>10464</v>
      </c>
      <c r="I134" s="53">
        <v>3</v>
      </c>
      <c r="J134" s="53">
        <f t="shared" si="7"/>
        <v>10777.92</v>
      </c>
      <c r="K134" s="53"/>
      <c r="L134" s="53">
        <f t="shared" si="8"/>
        <v>0</v>
      </c>
    </row>
    <row r="135" spans="1:12">
      <c r="A135" s="83">
        <v>3</v>
      </c>
      <c r="B135" s="84" t="s">
        <v>438</v>
      </c>
      <c r="C135" s="122" t="s">
        <v>439</v>
      </c>
      <c r="D135" s="123"/>
      <c r="E135" s="58" t="s">
        <v>486</v>
      </c>
      <c r="F135" s="124">
        <v>19000</v>
      </c>
      <c r="G135" s="53">
        <v>4</v>
      </c>
      <c r="H135" s="53">
        <f t="shared" si="6"/>
        <v>18240</v>
      </c>
      <c r="I135" s="53">
        <v>3</v>
      </c>
      <c r="J135" s="53">
        <f t="shared" si="7"/>
        <v>18787.2</v>
      </c>
      <c r="K135" s="53"/>
      <c r="L135" s="53">
        <f t="shared" si="8"/>
        <v>0</v>
      </c>
    </row>
  </sheetData>
  <mergeCells count="1">
    <mergeCell ref="F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L8" sqref="L8"/>
    </sheetView>
  </sheetViews>
  <sheetFormatPr defaultColWidth="29.83203125" defaultRowHeight="12.75"/>
  <cols>
    <col min="1" max="1" width="36" customWidth="1"/>
    <col min="2" max="2" width="48.6640625" customWidth="1"/>
    <col min="3" max="3" width="38.5" customWidth="1"/>
    <col min="4" max="4" width="15.83203125" customWidth="1"/>
    <col min="5" max="5" width="10.1640625" customWidth="1"/>
    <col min="6" max="6" width="13.83203125" customWidth="1"/>
    <col min="7" max="7" width="10.1640625" customWidth="1"/>
    <col min="8" max="8" width="18" customWidth="1"/>
    <col min="9" max="9" width="14.33203125" customWidth="1"/>
    <col min="10" max="10" width="16" customWidth="1"/>
  </cols>
  <sheetData>
    <row r="1" spans="1:10" s="16" customFormat="1" ht="53.25" customHeight="1">
      <c r="A1" s="14" t="s">
        <v>149</v>
      </c>
      <c r="B1" s="15"/>
      <c r="C1" s="14" t="s">
        <v>149</v>
      </c>
      <c r="D1" s="14" t="s">
        <v>150</v>
      </c>
      <c r="E1" s="12" t="s">
        <v>1</v>
      </c>
      <c r="F1" s="12" t="s">
        <v>3</v>
      </c>
      <c r="G1" s="12" t="s">
        <v>2</v>
      </c>
      <c r="H1" s="13" t="s">
        <v>4</v>
      </c>
      <c r="I1" s="13" t="s">
        <v>7</v>
      </c>
      <c r="J1" s="13" t="s">
        <v>8</v>
      </c>
    </row>
    <row r="2" spans="1:10" ht="22.5" customHeight="1">
      <c r="A2" s="2" t="s">
        <v>9</v>
      </c>
      <c r="B2" s="2" t="s">
        <v>10</v>
      </c>
      <c r="C2" s="2" t="s">
        <v>11</v>
      </c>
      <c r="D2" s="17" t="s">
        <v>12</v>
      </c>
      <c r="E2" s="25"/>
      <c r="F2" s="25"/>
      <c r="G2" s="25"/>
      <c r="H2" s="25"/>
      <c r="I2" s="25"/>
      <c r="J2" s="25"/>
    </row>
    <row r="3" spans="1:10" ht="22.5" customHeight="1">
      <c r="A3" s="3" t="s">
        <v>13</v>
      </c>
      <c r="B3" s="3" t="s">
        <v>14</v>
      </c>
      <c r="C3" s="3" t="s">
        <v>15</v>
      </c>
      <c r="D3" s="18">
        <v>745</v>
      </c>
      <c r="E3" s="47">
        <v>5</v>
      </c>
      <c r="F3" s="48">
        <f>D3-(D3*E3/100)</f>
        <v>707.75</v>
      </c>
      <c r="G3" s="47">
        <v>4</v>
      </c>
      <c r="H3" s="48">
        <f>F3+(F3*G3/100)</f>
        <v>736.06</v>
      </c>
      <c r="I3" s="49"/>
      <c r="J3" s="48">
        <f>I3*H3</f>
        <v>0</v>
      </c>
    </row>
    <row r="4" spans="1:10" ht="22.5" customHeight="1">
      <c r="A4" s="3" t="s">
        <v>16</v>
      </c>
      <c r="B4" s="3" t="s">
        <v>17</v>
      </c>
      <c r="C4" s="3" t="s">
        <v>15</v>
      </c>
      <c r="D4" s="18">
        <v>730</v>
      </c>
      <c r="E4" s="47">
        <v>5</v>
      </c>
      <c r="F4" s="48">
        <f t="shared" ref="F4:F66" si="0">D4-(D4*E4/100)</f>
        <v>693.5</v>
      </c>
      <c r="G4" s="47">
        <v>4</v>
      </c>
      <c r="H4" s="48">
        <f t="shared" ref="H4:H66" si="1">F4+(F4*G4/100)</f>
        <v>721.24</v>
      </c>
      <c r="I4" s="49"/>
      <c r="J4" s="48">
        <f t="shared" ref="J4:J66" si="2">I4*H4</f>
        <v>0</v>
      </c>
    </row>
    <row r="5" spans="1:10" ht="22.5" customHeight="1">
      <c r="A5" s="3" t="s">
        <v>18</v>
      </c>
      <c r="B5" s="3" t="s">
        <v>19</v>
      </c>
      <c r="C5" s="3" t="s">
        <v>20</v>
      </c>
      <c r="D5" s="18">
        <v>625</v>
      </c>
      <c r="E5" s="47">
        <v>5</v>
      </c>
      <c r="F5" s="48">
        <f t="shared" si="0"/>
        <v>593.75</v>
      </c>
      <c r="G5" s="47">
        <v>4</v>
      </c>
      <c r="H5" s="48">
        <f t="shared" si="1"/>
        <v>617.5</v>
      </c>
      <c r="I5" s="49"/>
      <c r="J5" s="48">
        <f t="shared" si="2"/>
        <v>0</v>
      </c>
    </row>
    <row r="6" spans="1:10" ht="22.5" customHeight="1">
      <c r="A6" s="3" t="s">
        <v>21</v>
      </c>
      <c r="B6" s="3" t="s">
        <v>22</v>
      </c>
      <c r="C6" s="3" t="s">
        <v>20</v>
      </c>
      <c r="D6" s="18">
        <v>580</v>
      </c>
      <c r="E6" s="47">
        <v>5</v>
      </c>
      <c r="F6" s="48">
        <f t="shared" si="0"/>
        <v>551</v>
      </c>
      <c r="G6" s="47">
        <v>4</v>
      </c>
      <c r="H6" s="48">
        <f t="shared" si="1"/>
        <v>573.04</v>
      </c>
      <c r="I6" s="49"/>
      <c r="J6" s="48">
        <f t="shared" si="2"/>
        <v>0</v>
      </c>
    </row>
    <row r="7" spans="1:10" ht="22.5" customHeight="1">
      <c r="A7" s="3" t="s">
        <v>23</v>
      </c>
      <c r="B7" s="3" t="s">
        <v>24</v>
      </c>
      <c r="C7" s="3" t="s">
        <v>25</v>
      </c>
      <c r="D7" s="18">
        <v>910</v>
      </c>
      <c r="E7" s="47">
        <v>5</v>
      </c>
      <c r="F7" s="48">
        <f t="shared" si="0"/>
        <v>864.5</v>
      </c>
      <c r="G7" s="47">
        <v>4</v>
      </c>
      <c r="H7" s="48">
        <f t="shared" si="1"/>
        <v>899.08</v>
      </c>
      <c r="I7" s="49"/>
      <c r="J7" s="48">
        <f t="shared" si="2"/>
        <v>0</v>
      </c>
    </row>
    <row r="8" spans="1:10" ht="22.5" customHeight="1">
      <c r="A8" s="3" t="s">
        <v>26</v>
      </c>
      <c r="B8" s="3" t="s">
        <v>27</v>
      </c>
      <c r="C8" s="3" t="s">
        <v>25</v>
      </c>
      <c r="D8" s="18">
        <v>860</v>
      </c>
      <c r="E8" s="47">
        <v>5</v>
      </c>
      <c r="F8" s="48">
        <f t="shared" si="0"/>
        <v>817</v>
      </c>
      <c r="G8" s="47">
        <v>4</v>
      </c>
      <c r="H8" s="48">
        <f t="shared" si="1"/>
        <v>849.68</v>
      </c>
      <c r="I8" s="49"/>
      <c r="J8" s="48">
        <f t="shared" si="2"/>
        <v>0</v>
      </c>
    </row>
    <row r="9" spans="1:10" ht="22.5" customHeight="1">
      <c r="A9" s="3" t="s">
        <v>28</v>
      </c>
      <c r="B9" s="3" t="s">
        <v>29</v>
      </c>
      <c r="C9" s="3" t="s">
        <v>30</v>
      </c>
      <c r="D9" s="18">
        <v>1050</v>
      </c>
      <c r="E9" s="47">
        <v>5</v>
      </c>
      <c r="F9" s="48">
        <f t="shared" si="0"/>
        <v>997.5</v>
      </c>
      <c r="G9" s="47">
        <v>4</v>
      </c>
      <c r="H9" s="48">
        <f t="shared" si="1"/>
        <v>1037.4000000000001</v>
      </c>
      <c r="I9" s="49"/>
      <c r="J9" s="48">
        <f t="shared" si="2"/>
        <v>0</v>
      </c>
    </row>
    <row r="10" spans="1:10" ht="22.5" customHeight="1">
      <c r="A10" s="3" t="s">
        <v>31</v>
      </c>
      <c r="B10" s="3" t="s">
        <v>32</v>
      </c>
      <c r="C10" s="3" t="s">
        <v>30</v>
      </c>
      <c r="D10" s="18">
        <v>990</v>
      </c>
      <c r="E10" s="47">
        <v>5</v>
      </c>
      <c r="F10" s="48">
        <f t="shared" si="0"/>
        <v>940.5</v>
      </c>
      <c r="G10" s="47">
        <v>4</v>
      </c>
      <c r="H10" s="48">
        <f t="shared" si="1"/>
        <v>978.12</v>
      </c>
      <c r="I10" s="49"/>
      <c r="J10" s="48">
        <f t="shared" si="2"/>
        <v>0</v>
      </c>
    </row>
    <row r="11" spans="1:10" ht="22.5" customHeight="1">
      <c r="A11" s="3" t="s">
        <v>33</v>
      </c>
      <c r="B11" s="3" t="s">
        <v>34</v>
      </c>
      <c r="C11" s="3" t="s">
        <v>30</v>
      </c>
      <c r="D11" s="18">
        <v>1560</v>
      </c>
      <c r="E11" s="47">
        <v>5</v>
      </c>
      <c r="F11" s="48">
        <f t="shared" si="0"/>
        <v>1482</v>
      </c>
      <c r="G11" s="47">
        <v>4</v>
      </c>
      <c r="H11" s="48">
        <f t="shared" si="1"/>
        <v>1541.28</v>
      </c>
      <c r="I11" s="49"/>
      <c r="J11" s="48">
        <f t="shared" si="2"/>
        <v>0</v>
      </c>
    </row>
    <row r="12" spans="1:10" ht="22.5" customHeight="1">
      <c r="A12" s="3" t="s">
        <v>35</v>
      </c>
      <c r="B12" s="3" t="s">
        <v>36</v>
      </c>
      <c r="C12" s="3" t="s">
        <v>30</v>
      </c>
      <c r="D12" s="18">
        <v>1520</v>
      </c>
      <c r="E12" s="47">
        <v>5</v>
      </c>
      <c r="F12" s="48">
        <f t="shared" si="0"/>
        <v>1444</v>
      </c>
      <c r="G12" s="47">
        <v>4</v>
      </c>
      <c r="H12" s="48">
        <f t="shared" si="1"/>
        <v>1501.76</v>
      </c>
      <c r="I12" s="49"/>
      <c r="J12" s="48">
        <f t="shared" si="2"/>
        <v>0</v>
      </c>
    </row>
    <row r="13" spans="1:10" ht="22.5" customHeight="1">
      <c r="A13" s="3" t="s">
        <v>37</v>
      </c>
      <c r="B13" s="3" t="s">
        <v>38</v>
      </c>
      <c r="C13" s="3" t="s">
        <v>39</v>
      </c>
      <c r="D13" s="18">
        <v>1560</v>
      </c>
      <c r="E13" s="47">
        <v>5</v>
      </c>
      <c r="F13" s="48">
        <f t="shared" si="0"/>
        <v>1482</v>
      </c>
      <c r="G13" s="47">
        <v>4</v>
      </c>
      <c r="H13" s="48">
        <f t="shared" si="1"/>
        <v>1541.28</v>
      </c>
      <c r="I13" s="49"/>
      <c r="J13" s="48">
        <f t="shared" si="2"/>
        <v>0</v>
      </c>
    </row>
    <row r="14" spans="1:10" ht="22.5" customHeight="1">
      <c r="A14" s="5" t="s">
        <v>40</v>
      </c>
      <c r="B14" s="5" t="s">
        <v>41</v>
      </c>
      <c r="C14" s="5" t="s">
        <v>39</v>
      </c>
      <c r="D14" s="19">
        <v>1520</v>
      </c>
      <c r="E14" s="47">
        <v>5</v>
      </c>
      <c r="F14" s="48">
        <f t="shared" si="0"/>
        <v>1444</v>
      </c>
      <c r="G14" s="47">
        <v>4</v>
      </c>
      <c r="H14" s="48">
        <f t="shared" si="1"/>
        <v>1501.76</v>
      </c>
      <c r="I14" s="49"/>
      <c r="J14" s="48">
        <f t="shared" si="2"/>
        <v>0</v>
      </c>
    </row>
    <row r="15" spans="1:10" ht="22.5" customHeight="1">
      <c r="A15" s="6" t="s">
        <v>42</v>
      </c>
      <c r="B15" s="1"/>
      <c r="C15" s="6" t="s">
        <v>42</v>
      </c>
      <c r="D15" s="20"/>
      <c r="E15" s="47">
        <v>5</v>
      </c>
      <c r="F15" s="48">
        <f t="shared" si="0"/>
        <v>0</v>
      </c>
      <c r="G15" s="47">
        <v>4</v>
      </c>
      <c r="H15" s="48">
        <f t="shared" si="1"/>
        <v>0</v>
      </c>
      <c r="I15" s="49"/>
      <c r="J15" s="48">
        <f t="shared" si="2"/>
        <v>0</v>
      </c>
    </row>
    <row r="16" spans="1:10" ht="22.5" customHeight="1">
      <c r="A16" s="2" t="s">
        <v>9</v>
      </c>
      <c r="B16" s="2" t="s">
        <v>10</v>
      </c>
      <c r="C16" s="2" t="s">
        <v>11</v>
      </c>
      <c r="D16" s="21"/>
      <c r="E16" s="47">
        <v>5</v>
      </c>
      <c r="F16" s="48">
        <f t="shared" si="0"/>
        <v>0</v>
      </c>
      <c r="G16" s="47">
        <v>4</v>
      </c>
      <c r="H16" s="48">
        <f t="shared" si="1"/>
        <v>0</v>
      </c>
      <c r="I16" s="49"/>
      <c r="J16" s="48">
        <f t="shared" si="2"/>
        <v>0</v>
      </c>
    </row>
    <row r="17" spans="1:10" ht="22.5" customHeight="1">
      <c r="A17" s="3" t="s">
        <v>43</v>
      </c>
      <c r="B17" s="3" t="s">
        <v>44</v>
      </c>
      <c r="C17" s="4"/>
      <c r="D17" s="18">
        <v>1770</v>
      </c>
      <c r="E17" s="47">
        <v>5</v>
      </c>
      <c r="F17" s="48">
        <f t="shared" si="0"/>
        <v>1681.5</v>
      </c>
      <c r="G17" s="47">
        <v>4</v>
      </c>
      <c r="H17" s="48">
        <f t="shared" si="1"/>
        <v>1748.76</v>
      </c>
      <c r="I17" s="49"/>
      <c r="J17" s="48">
        <f t="shared" si="2"/>
        <v>0</v>
      </c>
    </row>
    <row r="18" spans="1:10" ht="22.5" customHeight="1">
      <c r="A18" s="3" t="s">
        <v>45</v>
      </c>
      <c r="B18" s="3" t="s">
        <v>46</v>
      </c>
      <c r="C18" s="4"/>
      <c r="D18" s="18">
        <v>2600</v>
      </c>
      <c r="E18" s="47">
        <v>5</v>
      </c>
      <c r="F18" s="48">
        <f t="shared" si="0"/>
        <v>2470</v>
      </c>
      <c r="G18" s="47">
        <v>4</v>
      </c>
      <c r="H18" s="48">
        <f t="shared" si="1"/>
        <v>2568.8000000000002</v>
      </c>
      <c r="I18" s="49"/>
      <c r="J18" s="48">
        <f t="shared" si="2"/>
        <v>0</v>
      </c>
    </row>
    <row r="19" spans="1:10" ht="22.5" customHeight="1">
      <c r="A19" s="3" t="s">
        <v>47</v>
      </c>
      <c r="B19" s="126" t="s">
        <v>48</v>
      </c>
      <c r="C19" s="127"/>
      <c r="D19" s="18">
        <v>4500</v>
      </c>
      <c r="E19" s="47">
        <v>5</v>
      </c>
      <c r="F19" s="48">
        <f t="shared" si="0"/>
        <v>4275</v>
      </c>
      <c r="G19" s="47">
        <v>4</v>
      </c>
      <c r="H19" s="48">
        <f t="shared" si="1"/>
        <v>4446</v>
      </c>
      <c r="I19" s="49"/>
      <c r="J19" s="48">
        <f t="shared" si="2"/>
        <v>0</v>
      </c>
    </row>
    <row r="20" spans="1:10" ht="22.5" customHeight="1">
      <c r="A20" s="3" t="s">
        <v>49</v>
      </c>
      <c r="B20" s="3" t="s">
        <v>50</v>
      </c>
      <c r="C20" s="3" t="s">
        <v>51</v>
      </c>
      <c r="D20" s="18">
        <v>2750</v>
      </c>
      <c r="E20" s="47">
        <v>5</v>
      </c>
      <c r="F20" s="48">
        <f t="shared" si="0"/>
        <v>2612.5</v>
      </c>
      <c r="G20" s="47">
        <v>4</v>
      </c>
      <c r="H20" s="48">
        <f t="shared" si="1"/>
        <v>2717</v>
      </c>
      <c r="I20" s="49"/>
      <c r="J20" s="48">
        <f t="shared" si="2"/>
        <v>0</v>
      </c>
    </row>
    <row r="21" spans="1:10" ht="22.5" customHeight="1">
      <c r="A21" s="3" t="s">
        <v>52</v>
      </c>
      <c r="B21" s="3" t="s">
        <v>53</v>
      </c>
      <c r="C21" s="3" t="s">
        <v>54</v>
      </c>
      <c r="D21" s="18">
        <v>4000</v>
      </c>
      <c r="E21" s="47">
        <v>5</v>
      </c>
      <c r="F21" s="48">
        <f t="shared" si="0"/>
        <v>3800</v>
      </c>
      <c r="G21" s="47">
        <v>4</v>
      </c>
      <c r="H21" s="48">
        <f t="shared" si="1"/>
        <v>3952</v>
      </c>
      <c r="I21" s="49"/>
      <c r="J21" s="48">
        <f t="shared" si="2"/>
        <v>0</v>
      </c>
    </row>
    <row r="22" spans="1:10" ht="22.5" customHeight="1">
      <c r="A22" s="3" t="s">
        <v>55</v>
      </c>
      <c r="B22" s="3" t="s">
        <v>56</v>
      </c>
      <c r="C22" s="3" t="s">
        <v>57</v>
      </c>
      <c r="D22" s="18">
        <v>6600</v>
      </c>
      <c r="E22" s="47">
        <v>5</v>
      </c>
      <c r="F22" s="48">
        <f t="shared" si="0"/>
        <v>6270</v>
      </c>
      <c r="G22" s="47">
        <v>4</v>
      </c>
      <c r="H22" s="48">
        <f t="shared" si="1"/>
        <v>6520.8</v>
      </c>
      <c r="I22" s="49"/>
      <c r="J22" s="48">
        <f t="shared" si="2"/>
        <v>0</v>
      </c>
    </row>
    <row r="23" spans="1:10" ht="22.5" customHeight="1">
      <c r="A23" s="3" t="s">
        <v>58</v>
      </c>
      <c r="B23" s="3" t="s">
        <v>59</v>
      </c>
      <c r="C23" s="3" t="s">
        <v>60</v>
      </c>
      <c r="D23" s="18">
        <v>3450</v>
      </c>
      <c r="E23" s="47">
        <v>5</v>
      </c>
      <c r="F23" s="48">
        <f t="shared" si="0"/>
        <v>3277.5</v>
      </c>
      <c r="G23" s="47">
        <v>4</v>
      </c>
      <c r="H23" s="48">
        <f t="shared" si="1"/>
        <v>3408.6</v>
      </c>
      <c r="I23" s="49"/>
      <c r="J23" s="48">
        <f t="shared" si="2"/>
        <v>0</v>
      </c>
    </row>
    <row r="24" spans="1:10" ht="22.5" customHeight="1">
      <c r="A24" s="5" t="s">
        <v>61</v>
      </c>
      <c r="B24" s="5" t="s">
        <v>62</v>
      </c>
      <c r="C24" s="5" t="s">
        <v>63</v>
      </c>
      <c r="D24" s="19">
        <v>12000</v>
      </c>
      <c r="E24" s="47">
        <v>5</v>
      </c>
      <c r="F24" s="48">
        <f t="shared" si="0"/>
        <v>11400</v>
      </c>
      <c r="G24" s="47">
        <v>4</v>
      </c>
      <c r="H24" s="48">
        <f t="shared" si="1"/>
        <v>11856</v>
      </c>
      <c r="I24" s="49"/>
      <c r="J24" s="48">
        <f t="shared" si="2"/>
        <v>0</v>
      </c>
    </row>
    <row r="25" spans="1:10" ht="22.5" customHeight="1">
      <c r="A25" s="7" t="s">
        <v>64</v>
      </c>
      <c r="B25" s="1"/>
      <c r="C25" s="7" t="s">
        <v>65</v>
      </c>
      <c r="D25" s="22"/>
      <c r="E25" s="47">
        <v>5</v>
      </c>
      <c r="F25" s="48">
        <f t="shared" si="0"/>
        <v>0</v>
      </c>
      <c r="G25" s="47">
        <v>4</v>
      </c>
      <c r="H25" s="48">
        <f t="shared" si="1"/>
        <v>0</v>
      </c>
      <c r="I25" s="49"/>
      <c r="J25" s="48">
        <f t="shared" si="2"/>
        <v>0</v>
      </c>
    </row>
    <row r="26" spans="1:10" ht="22.5" customHeight="1">
      <c r="A26" s="2" t="s">
        <v>9</v>
      </c>
      <c r="B26" s="2" t="s">
        <v>10</v>
      </c>
      <c r="C26" s="2" t="s">
        <v>11</v>
      </c>
      <c r="D26" s="21"/>
      <c r="E26" s="47">
        <v>5</v>
      </c>
      <c r="F26" s="48">
        <f t="shared" si="0"/>
        <v>0</v>
      </c>
      <c r="G26" s="47">
        <v>4</v>
      </c>
      <c r="H26" s="48">
        <f t="shared" si="1"/>
        <v>0</v>
      </c>
      <c r="I26" s="49"/>
      <c r="J26" s="48">
        <f t="shared" si="2"/>
        <v>0</v>
      </c>
    </row>
    <row r="27" spans="1:10" ht="22.5" customHeight="1">
      <c r="A27" s="3" t="s">
        <v>66</v>
      </c>
      <c r="B27" s="3" t="s">
        <v>67</v>
      </c>
      <c r="C27" s="3" t="s">
        <v>68</v>
      </c>
      <c r="D27" s="18">
        <v>2350</v>
      </c>
      <c r="E27" s="47">
        <v>5</v>
      </c>
      <c r="F27" s="48">
        <f t="shared" si="0"/>
        <v>2232.5</v>
      </c>
      <c r="G27" s="47">
        <v>4</v>
      </c>
      <c r="H27" s="48">
        <f t="shared" si="1"/>
        <v>2321.8000000000002</v>
      </c>
      <c r="I27" s="49"/>
      <c r="J27" s="48">
        <f t="shared" si="2"/>
        <v>0</v>
      </c>
    </row>
    <row r="28" spans="1:10" ht="22.5" customHeight="1">
      <c r="A28" s="3" t="s">
        <v>69</v>
      </c>
      <c r="B28" s="3" t="s">
        <v>70</v>
      </c>
      <c r="C28" s="3" t="s">
        <v>68</v>
      </c>
      <c r="D28" s="18">
        <v>2300</v>
      </c>
      <c r="E28" s="47">
        <v>5</v>
      </c>
      <c r="F28" s="48">
        <f t="shared" si="0"/>
        <v>2185</v>
      </c>
      <c r="G28" s="47">
        <v>4</v>
      </c>
      <c r="H28" s="48">
        <f t="shared" si="1"/>
        <v>2272.4</v>
      </c>
      <c r="I28" s="49"/>
      <c r="J28" s="48">
        <f t="shared" si="2"/>
        <v>0</v>
      </c>
    </row>
    <row r="29" spans="1:10" ht="22.5" customHeight="1">
      <c r="A29" s="3" t="s">
        <v>71</v>
      </c>
      <c r="B29" s="3" t="s">
        <v>72</v>
      </c>
      <c r="C29" s="3" t="s">
        <v>73</v>
      </c>
      <c r="D29" s="18">
        <v>2950</v>
      </c>
      <c r="E29" s="47">
        <v>5</v>
      </c>
      <c r="F29" s="48">
        <f t="shared" si="0"/>
        <v>2802.5</v>
      </c>
      <c r="G29" s="47">
        <v>4</v>
      </c>
      <c r="H29" s="48">
        <f t="shared" si="1"/>
        <v>2914.6</v>
      </c>
      <c r="I29" s="49"/>
      <c r="J29" s="48">
        <f t="shared" si="2"/>
        <v>0</v>
      </c>
    </row>
    <row r="30" spans="1:10" ht="22.5" customHeight="1">
      <c r="A30" s="3" t="s">
        <v>74</v>
      </c>
      <c r="B30" s="3" t="s">
        <v>75</v>
      </c>
      <c r="C30" s="3" t="s">
        <v>73</v>
      </c>
      <c r="D30" s="18">
        <v>2900</v>
      </c>
      <c r="E30" s="47">
        <v>5</v>
      </c>
      <c r="F30" s="48">
        <f t="shared" si="0"/>
        <v>2755</v>
      </c>
      <c r="G30" s="47">
        <v>4</v>
      </c>
      <c r="H30" s="48">
        <f t="shared" si="1"/>
        <v>2865.2</v>
      </c>
      <c r="I30" s="49"/>
      <c r="J30" s="48">
        <f t="shared" si="2"/>
        <v>0</v>
      </c>
    </row>
    <row r="31" spans="1:10" ht="22.5" customHeight="1">
      <c r="A31" s="3" t="s">
        <v>76</v>
      </c>
      <c r="B31" s="3" t="s">
        <v>77</v>
      </c>
      <c r="C31" s="3" t="s">
        <v>78</v>
      </c>
      <c r="D31" s="18">
        <v>2590</v>
      </c>
      <c r="E31" s="47">
        <v>5</v>
      </c>
      <c r="F31" s="48">
        <f t="shared" si="0"/>
        <v>2460.5</v>
      </c>
      <c r="G31" s="47">
        <v>4</v>
      </c>
      <c r="H31" s="48">
        <f t="shared" si="1"/>
        <v>2558.92</v>
      </c>
      <c r="I31" s="49"/>
      <c r="J31" s="48">
        <f t="shared" si="2"/>
        <v>0</v>
      </c>
    </row>
    <row r="32" spans="1:10" ht="22.5" customHeight="1">
      <c r="A32" s="3" t="s">
        <v>79</v>
      </c>
      <c r="B32" s="3" t="s">
        <v>80</v>
      </c>
      <c r="C32" s="3" t="s">
        <v>78</v>
      </c>
      <c r="D32" s="18">
        <v>2550</v>
      </c>
      <c r="E32" s="47">
        <v>5</v>
      </c>
      <c r="F32" s="48">
        <f t="shared" si="0"/>
        <v>2422.5</v>
      </c>
      <c r="G32" s="47">
        <v>4</v>
      </c>
      <c r="H32" s="48">
        <f t="shared" si="1"/>
        <v>2519.4</v>
      </c>
      <c r="I32" s="49"/>
      <c r="J32" s="48">
        <f t="shared" si="2"/>
        <v>0</v>
      </c>
    </row>
    <row r="33" spans="1:10" ht="22.5" customHeight="1">
      <c r="A33" s="3" t="s">
        <v>81</v>
      </c>
      <c r="B33" s="3" t="s">
        <v>82</v>
      </c>
      <c r="C33" s="3" t="s">
        <v>83</v>
      </c>
      <c r="D33" s="18">
        <v>3250</v>
      </c>
      <c r="E33" s="47">
        <v>5</v>
      </c>
      <c r="F33" s="48">
        <f t="shared" si="0"/>
        <v>3087.5</v>
      </c>
      <c r="G33" s="47">
        <v>4</v>
      </c>
      <c r="H33" s="48">
        <f t="shared" si="1"/>
        <v>3211</v>
      </c>
      <c r="I33" s="49"/>
      <c r="J33" s="48">
        <f t="shared" si="2"/>
        <v>0</v>
      </c>
    </row>
    <row r="34" spans="1:10" ht="22.5" customHeight="1">
      <c r="A34" s="3" t="s">
        <v>84</v>
      </c>
      <c r="B34" s="3" t="s">
        <v>85</v>
      </c>
      <c r="C34" s="3" t="s">
        <v>83</v>
      </c>
      <c r="D34" s="18">
        <v>3200</v>
      </c>
      <c r="E34" s="47">
        <v>5</v>
      </c>
      <c r="F34" s="48">
        <f t="shared" si="0"/>
        <v>3040</v>
      </c>
      <c r="G34" s="47">
        <v>4</v>
      </c>
      <c r="H34" s="48">
        <f t="shared" si="1"/>
        <v>3161.6</v>
      </c>
      <c r="I34" s="49"/>
      <c r="J34" s="48">
        <f t="shared" si="2"/>
        <v>0</v>
      </c>
    </row>
    <row r="35" spans="1:10" ht="22.5" customHeight="1">
      <c r="A35" s="3" t="s">
        <v>86</v>
      </c>
      <c r="B35" s="3" t="s">
        <v>87</v>
      </c>
      <c r="C35" s="3" t="s">
        <v>88</v>
      </c>
      <c r="D35" s="18">
        <v>3950</v>
      </c>
      <c r="E35" s="47">
        <v>5</v>
      </c>
      <c r="F35" s="48">
        <f t="shared" si="0"/>
        <v>3752.5</v>
      </c>
      <c r="G35" s="47">
        <v>4</v>
      </c>
      <c r="H35" s="48">
        <f t="shared" si="1"/>
        <v>3902.6</v>
      </c>
      <c r="I35" s="49"/>
      <c r="J35" s="48">
        <f t="shared" si="2"/>
        <v>0</v>
      </c>
    </row>
    <row r="36" spans="1:10" ht="22.5" customHeight="1">
      <c r="A36" s="3" t="s">
        <v>89</v>
      </c>
      <c r="B36" s="3" t="s">
        <v>90</v>
      </c>
      <c r="C36" s="3" t="s">
        <v>88</v>
      </c>
      <c r="D36" s="18">
        <v>3900</v>
      </c>
      <c r="E36" s="47">
        <v>5</v>
      </c>
      <c r="F36" s="48">
        <f t="shared" si="0"/>
        <v>3705</v>
      </c>
      <c r="G36" s="47">
        <v>4</v>
      </c>
      <c r="H36" s="48">
        <f t="shared" si="1"/>
        <v>3853.2</v>
      </c>
      <c r="I36" s="49"/>
      <c r="J36" s="48">
        <f t="shared" si="2"/>
        <v>0</v>
      </c>
    </row>
    <row r="37" spans="1:10" ht="22.5" customHeight="1">
      <c r="A37" s="3" t="s">
        <v>91</v>
      </c>
      <c r="B37" s="3" t="s">
        <v>92</v>
      </c>
      <c r="C37" s="3" t="s">
        <v>93</v>
      </c>
      <c r="D37" s="18">
        <v>3490</v>
      </c>
      <c r="E37" s="47">
        <v>5</v>
      </c>
      <c r="F37" s="48">
        <f t="shared" si="0"/>
        <v>3315.5</v>
      </c>
      <c r="G37" s="47">
        <v>4</v>
      </c>
      <c r="H37" s="48">
        <f t="shared" si="1"/>
        <v>3448.12</v>
      </c>
      <c r="I37" s="49"/>
      <c r="J37" s="48">
        <f t="shared" si="2"/>
        <v>0</v>
      </c>
    </row>
    <row r="38" spans="1:10" ht="22.5" customHeight="1">
      <c r="A38" s="3" t="s">
        <v>94</v>
      </c>
      <c r="B38" s="3" t="s">
        <v>80</v>
      </c>
      <c r="C38" s="3" t="s">
        <v>93</v>
      </c>
      <c r="D38" s="18">
        <v>3430</v>
      </c>
      <c r="E38" s="47">
        <v>5</v>
      </c>
      <c r="F38" s="48">
        <f t="shared" si="0"/>
        <v>3258.5</v>
      </c>
      <c r="G38" s="47">
        <v>4</v>
      </c>
      <c r="H38" s="48">
        <f t="shared" si="1"/>
        <v>3388.84</v>
      </c>
      <c r="I38" s="49"/>
      <c r="J38" s="48">
        <f t="shared" si="2"/>
        <v>0</v>
      </c>
    </row>
    <row r="39" spans="1:10" ht="22.5" customHeight="1">
      <c r="A39" s="3" t="s">
        <v>95</v>
      </c>
      <c r="B39" s="3" t="s">
        <v>96</v>
      </c>
      <c r="C39" s="3" t="s">
        <v>97</v>
      </c>
      <c r="D39" s="18">
        <v>4350</v>
      </c>
      <c r="E39" s="47">
        <v>5</v>
      </c>
      <c r="F39" s="48">
        <f t="shared" si="0"/>
        <v>4132.5</v>
      </c>
      <c r="G39" s="47">
        <v>4</v>
      </c>
      <c r="H39" s="48">
        <f t="shared" si="1"/>
        <v>4297.8</v>
      </c>
      <c r="I39" s="49"/>
      <c r="J39" s="48">
        <f t="shared" si="2"/>
        <v>0</v>
      </c>
    </row>
    <row r="40" spans="1:10" ht="22.5" customHeight="1">
      <c r="A40" s="3" t="s">
        <v>98</v>
      </c>
      <c r="B40" s="3" t="s">
        <v>99</v>
      </c>
      <c r="C40" s="3" t="s">
        <v>97</v>
      </c>
      <c r="D40" s="18">
        <v>4300</v>
      </c>
      <c r="E40" s="47">
        <v>5</v>
      </c>
      <c r="F40" s="48">
        <f t="shared" si="0"/>
        <v>4085</v>
      </c>
      <c r="G40" s="47">
        <v>4</v>
      </c>
      <c r="H40" s="48">
        <f t="shared" si="1"/>
        <v>4248.3999999999996</v>
      </c>
      <c r="I40" s="49"/>
      <c r="J40" s="48">
        <f t="shared" si="2"/>
        <v>0</v>
      </c>
    </row>
    <row r="41" spans="1:10" ht="22.5" customHeight="1">
      <c r="A41" s="3" t="s">
        <v>100</v>
      </c>
      <c r="B41" s="3" t="s">
        <v>101</v>
      </c>
      <c r="C41" s="3" t="s">
        <v>97</v>
      </c>
      <c r="D41" s="18">
        <v>4790</v>
      </c>
      <c r="E41" s="47">
        <v>5</v>
      </c>
      <c r="F41" s="48">
        <f t="shared" si="0"/>
        <v>4550.5</v>
      </c>
      <c r="G41" s="47">
        <v>4</v>
      </c>
      <c r="H41" s="48">
        <f t="shared" si="1"/>
        <v>4732.5200000000004</v>
      </c>
      <c r="I41" s="49"/>
      <c r="J41" s="48">
        <f t="shared" si="2"/>
        <v>0</v>
      </c>
    </row>
    <row r="42" spans="1:10" ht="22.5" customHeight="1">
      <c r="A42" s="3" t="s">
        <v>102</v>
      </c>
      <c r="B42" s="3" t="s">
        <v>90</v>
      </c>
      <c r="C42" s="3" t="s">
        <v>97</v>
      </c>
      <c r="D42" s="18">
        <v>4720</v>
      </c>
      <c r="E42" s="47">
        <v>5</v>
      </c>
      <c r="F42" s="48">
        <f t="shared" si="0"/>
        <v>4484</v>
      </c>
      <c r="G42" s="47">
        <v>4</v>
      </c>
      <c r="H42" s="48">
        <f t="shared" si="1"/>
        <v>4663.3599999999997</v>
      </c>
      <c r="I42" s="49"/>
      <c r="J42" s="48">
        <f t="shared" si="2"/>
        <v>0</v>
      </c>
    </row>
    <row r="43" spans="1:10" ht="22.5" customHeight="1">
      <c r="A43" s="3" t="s">
        <v>103</v>
      </c>
      <c r="B43" s="3" t="s">
        <v>104</v>
      </c>
      <c r="C43" s="3" t="s">
        <v>105</v>
      </c>
      <c r="D43" s="18">
        <v>5500</v>
      </c>
      <c r="E43" s="47">
        <v>5</v>
      </c>
      <c r="F43" s="48">
        <f t="shared" si="0"/>
        <v>5225</v>
      </c>
      <c r="G43" s="47">
        <v>4</v>
      </c>
      <c r="H43" s="48">
        <f t="shared" si="1"/>
        <v>5434</v>
      </c>
      <c r="I43" s="49"/>
      <c r="J43" s="48">
        <f t="shared" si="2"/>
        <v>0</v>
      </c>
    </row>
    <row r="44" spans="1:10" ht="22.5" customHeight="1">
      <c r="A44" s="3" t="s">
        <v>106</v>
      </c>
      <c r="B44" s="3" t="s">
        <v>107</v>
      </c>
      <c r="C44" s="3" t="s">
        <v>108</v>
      </c>
      <c r="D44" s="18">
        <v>5450</v>
      </c>
      <c r="E44" s="47">
        <v>5</v>
      </c>
      <c r="F44" s="48">
        <f t="shared" si="0"/>
        <v>5177.5</v>
      </c>
      <c r="G44" s="47">
        <v>4</v>
      </c>
      <c r="H44" s="48">
        <f t="shared" si="1"/>
        <v>5384.6</v>
      </c>
      <c r="I44" s="49"/>
      <c r="J44" s="48">
        <f t="shared" si="2"/>
        <v>0</v>
      </c>
    </row>
    <row r="45" spans="1:10" ht="22.5" customHeight="1">
      <c r="A45" s="3" t="s">
        <v>109</v>
      </c>
      <c r="B45" s="3" t="s">
        <v>110</v>
      </c>
      <c r="C45" s="3" t="s">
        <v>108</v>
      </c>
      <c r="D45" s="18">
        <v>6650</v>
      </c>
      <c r="E45" s="47">
        <v>5</v>
      </c>
      <c r="F45" s="48">
        <f t="shared" si="0"/>
        <v>6317.5</v>
      </c>
      <c r="G45" s="47">
        <v>4</v>
      </c>
      <c r="H45" s="48">
        <f t="shared" si="1"/>
        <v>6570.2</v>
      </c>
      <c r="I45" s="49"/>
      <c r="J45" s="48">
        <f t="shared" si="2"/>
        <v>0</v>
      </c>
    </row>
    <row r="46" spans="1:10" ht="22.5" customHeight="1">
      <c r="A46" s="5" t="s">
        <v>111</v>
      </c>
      <c r="B46" s="5" t="s">
        <v>112</v>
      </c>
      <c r="C46" s="5" t="s">
        <v>108</v>
      </c>
      <c r="D46" s="19">
        <v>6600</v>
      </c>
      <c r="E46" s="47">
        <v>5</v>
      </c>
      <c r="F46" s="48">
        <f t="shared" si="0"/>
        <v>6270</v>
      </c>
      <c r="G46" s="47">
        <v>4</v>
      </c>
      <c r="H46" s="48">
        <f t="shared" si="1"/>
        <v>6520.8</v>
      </c>
      <c r="I46" s="49"/>
      <c r="J46" s="48">
        <f t="shared" si="2"/>
        <v>0</v>
      </c>
    </row>
    <row r="47" spans="1:10" ht="22.5" customHeight="1">
      <c r="A47" s="7" t="s">
        <v>113</v>
      </c>
      <c r="B47" s="1"/>
      <c r="C47" s="7" t="s">
        <v>113</v>
      </c>
      <c r="D47" s="22"/>
      <c r="E47" s="47">
        <v>5</v>
      </c>
      <c r="F47" s="48">
        <f t="shared" si="0"/>
        <v>0</v>
      </c>
      <c r="G47" s="47">
        <v>4</v>
      </c>
      <c r="H47" s="48">
        <f t="shared" si="1"/>
        <v>0</v>
      </c>
      <c r="I47" s="49"/>
      <c r="J47" s="48">
        <f t="shared" si="2"/>
        <v>0</v>
      </c>
    </row>
    <row r="48" spans="1:10" ht="22.5" customHeight="1">
      <c r="A48" s="2" t="s">
        <v>9</v>
      </c>
      <c r="B48" s="2" t="s">
        <v>10</v>
      </c>
      <c r="C48" s="2" t="s">
        <v>11</v>
      </c>
      <c r="D48" s="21"/>
      <c r="E48" s="47">
        <v>5</v>
      </c>
      <c r="F48" s="48">
        <f t="shared" si="0"/>
        <v>0</v>
      </c>
      <c r="G48" s="47">
        <v>4</v>
      </c>
      <c r="H48" s="48">
        <f t="shared" si="1"/>
        <v>0</v>
      </c>
      <c r="I48" s="49"/>
      <c r="J48" s="48">
        <f t="shared" si="2"/>
        <v>0</v>
      </c>
    </row>
    <row r="49" spans="1:10" ht="22.5" customHeight="1">
      <c r="A49" s="3" t="s">
        <v>114</v>
      </c>
      <c r="B49" s="3" t="s">
        <v>115</v>
      </c>
      <c r="C49" s="3" t="s">
        <v>116</v>
      </c>
      <c r="D49" s="18">
        <v>2400</v>
      </c>
      <c r="E49" s="47">
        <v>5</v>
      </c>
      <c r="F49" s="48">
        <f t="shared" si="0"/>
        <v>2280</v>
      </c>
      <c r="G49" s="47">
        <v>4</v>
      </c>
      <c r="H49" s="48">
        <f t="shared" si="1"/>
        <v>2371.1999999999998</v>
      </c>
      <c r="I49" s="49"/>
      <c r="J49" s="48">
        <f t="shared" si="2"/>
        <v>0</v>
      </c>
    </row>
    <row r="50" spans="1:10" ht="22.5" customHeight="1">
      <c r="A50" s="3" t="s">
        <v>117</v>
      </c>
      <c r="B50" s="3" t="s">
        <v>118</v>
      </c>
      <c r="C50" s="3" t="s">
        <v>116</v>
      </c>
      <c r="D50" s="18">
        <v>2850</v>
      </c>
      <c r="E50" s="47">
        <v>5</v>
      </c>
      <c r="F50" s="48">
        <f t="shared" si="0"/>
        <v>2707.5</v>
      </c>
      <c r="G50" s="47">
        <v>4</v>
      </c>
      <c r="H50" s="48">
        <f t="shared" si="1"/>
        <v>2815.8</v>
      </c>
      <c r="I50" s="49"/>
      <c r="J50" s="48">
        <f t="shared" si="2"/>
        <v>0</v>
      </c>
    </row>
    <row r="51" spans="1:10" ht="22.5" customHeight="1">
      <c r="A51" s="3" t="s">
        <v>119</v>
      </c>
      <c r="B51" s="3" t="s">
        <v>120</v>
      </c>
      <c r="C51" s="3" t="s">
        <v>121</v>
      </c>
      <c r="D51" s="18">
        <v>3500</v>
      </c>
      <c r="E51" s="47">
        <v>5</v>
      </c>
      <c r="F51" s="48">
        <f t="shared" si="0"/>
        <v>3325</v>
      </c>
      <c r="G51" s="47">
        <v>4</v>
      </c>
      <c r="H51" s="48">
        <f t="shared" si="1"/>
        <v>3458</v>
      </c>
      <c r="I51" s="49"/>
      <c r="J51" s="48">
        <f t="shared" si="2"/>
        <v>0</v>
      </c>
    </row>
    <row r="52" spans="1:10" ht="22.5" customHeight="1">
      <c r="A52" s="3" t="s">
        <v>122</v>
      </c>
      <c r="B52" s="3" t="s">
        <v>123</v>
      </c>
      <c r="C52" s="3" t="s">
        <v>121</v>
      </c>
      <c r="D52" s="18">
        <v>3840</v>
      </c>
      <c r="E52" s="47">
        <v>5</v>
      </c>
      <c r="F52" s="48">
        <f t="shared" si="0"/>
        <v>3648</v>
      </c>
      <c r="G52" s="47">
        <v>4</v>
      </c>
      <c r="H52" s="48">
        <f t="shared" si="1"/>
        <v>3793.92</v>
      </c>
      <c r="I52" s="49"/>
      <c r="J52" s="48">
        <f t="shared" si="2"/>
        <v>0</v>
      </c>
    </row>
    <row r="53" spans="1:10" ht="22.5" customHeight="1">
      <c r="A53" s="3" t="s">
        <v>124</v>
      </c>
      <c r="B53" s="3" t="s">
        <v>125</v>
      </c>
      <c r="C53" s="3" t="s">
        <v>121</v>
      </c>
      <c r="D53" s="18">
        <v>4420</v>
      </c>
      <c r="E53" s="47">
        <v>5</v>
      </c>
      <c r="F53" s="48">
        <f t="shared" si="0"/>
        <v>4199</v>
      </c>
      <c r="G53" s="47">
        <v>4</v>
      </c>
      <c r="H53" s="48">
        <f t="shared" si="1"/>
        <v>4366.96</v>
      </c>
      <c r="I53" s="49"/>
      <c r="J53" s="48">
        <f t="shared" si="2"/>
        <v>0</v>
      </c>
    </row>
    <row r="54" spans="1:10" ht="22.5" customHeight="1">
      <c r="A54" s="3" t="s">
        <v>126</v>
      </c>
      <c r="B54" s="3" t="s">
        <v>127</v>
      </c>
      <c r="C54" s="3" t="s">
        <v>121</v>
      </c>
      <c r="D54" s="18">
        <v>4700</v>
      </c>
      <c r="E54" s="47">
        <v>5</v>
      </c>
      <c r="F54" s="48">
        <f t="shared" si="0"/>
        <v>4465</v>
      </c>
      <c r="G54" s="47">
        <v>4</v>
      </c>
      <c r="H54" s="48">
        <f t="shared" si="1"/>
        <v>4643.6000000000004</v>
      </c>
      <c r="I54" s="49"/>
      <c r="J54" s="48">
        <f t="shared" si="2"/>
        <v>0</v>
      </c>
    </row>
    <row r="55" spans="1:10" ht="22.5" customHeight="1">
      <c r="A55" s="3" t="s">
        <v>128</v>
      </c>
      <c r="B55" s="3" t="s">
        <v>129</v>
      </c>
      <c r="C55" s="3" t="s">
        <v>121</v>
      </c>
      <c r="D55" s="18">
        <v>5580</v>
      </c>
      <c r="E55" s="47">
        <v>5</v>
      </c>
      <c r="F55" s="48">
        <f t="shared" si="0"/>
        <v>5301</v>
      </c>
      <c r="G55" s="47">
        <v>4</v>
      </c>
      <c r="H55" s="48">
        <f t="shared" si="1"/>
        <v>5513.04</v>
      </c>
      <c r="I55" s="49"/>
      <c r="J55" s="48">
        <f t="shared" si="2"/>
        <v>0</v>
      </c>
    </row>
    <row r="56" spans="1:10" ht="22.5" customHeight="1">
      <c r="A56" s="3" t="s">
        <v>130</v>
      </c>
      <c r="B56" s="3" t="s">
        <v>131</v>
      </c>
      <c r="C56" s="3" t="s">
        <v>121</v>
      </c>
      <c r="D56" s="18">
        <v>6150</v>
      </c>
      <c r="E56" s="47">
        <v>5</v>
      </c>
      <c r="F56" s="48">
        <f t="shared" si="0"/>
        <v>5842.5</v>
      </c>
      <c r="G56" s="47">
        <v>4</v>
      </c>
      <c r="H56" s="48">
        <f t="shared" si="1"/>
        <v>6076.2</v>
      </c>
      <c r="I56" s="49"/>
      <c r="J56" s="48">
        <f t="shared" si="2"/>
        <v>0</v>
      </c>
    </row>
    <row r="57" spans="1:10" ht="22.5" customHeight="1">
      <c r="A57" s="3" t="s">
        <v>132</v>
      </c>
      <c r="B57" s="3" t="s">
        <v>133</v>
      </c>
      <c r="C57" s="3" t="s">
        <v>134</v>
      </c>
      <c r="D57" s="18">
        <v>7100</v>
      </c>
      <c r="E57" s="47">
        <v>5</v>
      </c>
      <c r="F57" s="48">
        <f t="shared" si="0"/>
        <v>6745</v>
      </c>
      <c r="G57" s="47">
        <v>4</v>
      </c>
      <c r="H57" s="48">
        <f t="shared" si="1"/>
        <v>7014.8</v>
      </c>
      <c r="I57" s="49"/>
      <c r="J57" s="48">
        <f t="shared" si="2"/>
        <v>0</v>
      </c>
    </row>
    <row r="58" spans="1:10" ht="22.5" customHeight="1">
      <c r="A58" s="3" t="s">
        <v>135</v>
      </c>
      <c r="B58" s="3" t="s">
        <v>136</v>
      </c>
      <c r="C58" s="3" t="s">
        <v>134</v>
      </c>
      <c r="D58" s="18">
        <v>9500</v>
      </c>
      <c r="E58" s="47">
        <v>5</v>
      </c>
      <c r="F58" s="48">
        <f t="shared" si="0"/>
        <v>9025</v>
      </c>
      <c r="G58" s="47">
        <v>4</v>
      </c>
      <c r="H58" s="48">
        <f t="shared" si="1"/>
        <v>9386</v>
      </c>
      <c r="I58" s="49"/>
      <c r="J58" s="48">
        <f t="shared" si="2"/>
        <v>0</v>
      </c>
    </row>
    <row r="59" spans="1:10" ht="22.5" customHeight="1">
      <c r="A59" s="3" t="s">
        <v>137</v>
      </c>
      <c r="B59" s="3" t="s">
        <v>133</v>
      </c>
      <c r="C59" s="3" t="s">
        <v>134</v>
      </c>
      <c r="D59" s="18">
        <v>14300</v>
      </c>
      <c r="E59" s="47">
        <v>5</v>
      </c>
      <c r="F59" s="48">
        <f t="shared" si="0"/>
        <v>13585</v>
      </c>
      <c r="G59" s="47">
        <v>4</v>
      </c>
      <c r="H59" s="48">
        <f t="shared" si="1"/>
        <v>14128.4</v>
      </c>
      <c r="I59" s="49"/>
      <c r="J59" s="48">
        <f t="shared" si="2"/>
        <v>0</v>
      </c>
    </row>
    <row r="60" spans="1:10" ht="22.5" customHeight="1">
      <c r="A60" s="3" t="s">
        <v>138</v>
      </c>
      <c r="B60" s="3" t="s">
        <v>139</v>
      </c>
      <c r="C60" s="3" t="s">
        <v>134</v>
      </c>
      <c r="D60" s="18">
        <v>17600</v>
      </c>
      <c r="E60" s="47">
        <v>5</v>
      </c>
      <c r="F60" s="48">
        <f t="shared" si="0"/>
        <v>16720</v>
      </c>
      <c r="G60" s="47">
        <v>4</v>
      </c>
      <c r="H60" s="48">
        <f t="shared" si="1"/>
        <v>17388.8</v>
      </c>
      <c r="I60" s="49"/>
      <c r="J60" s="48">
        <f t="shared" si="2"/>
        <v>0</v>
      </c>
    </row>
    <row r="61" spans="1:10" ht="24" customHeight="1">
      <c r="A61" s="8" t="s">
        <v>140</v>
      </c>
      <c r="B61" s="9"/>
      <c r="C61" s="8" t="s">
        <v>141</v>
      </c>
      <c r="D61" s="23"/>
      <c r="E61" s="47">
        <v>5</v>
      </c>
      <c r="F61" s="48">
        <f t="shared" si="0"/>
        <v>0</v>
      </c>
      <c r="G61" s="47">
        <v>4</v>
      </c>
      <c r="H61" s="48">
        <f t="shared" si="1"/>
        <v>0</v>
      </c>
      <c r="I61" s="49"/>
      <c r="J61" s="48">
        <f t="shared" si="2"/>
        <v>0</v>
      </c>
    </row>
    <row r="62" spans="1:10" ht="24" customHeight="1">
      <c r="A62" s="10" t="s">
        <v>9</v>
      </c>
      <c r="B62" s="10" t="s">
        <v>142</v>
      </c>
      <c r="C62" s="10"/>
      <c r="D62" s="24"/>
      <c r="E62" s="47">
        <v>5</v>
      </c>
      <c r="F62" s="48">
        <f t="shared" si="0"/>
        <v>0</v>
      </c>
      <c r="G62" s="47">
        <v>4</v>
      </c>
      <c r="H62" s="48">
        <f t="shared" si="1"/>
        <v>0</v>
      </c>
      <c r="I62" s="49"/>
      <c r="J62" s="48">
        <f t="shared" si="2"/>
        <v>0</v>
      </c>
    </row>
    <row r="63" spans="1:10" ht="24" customHeight="1">
      <c r="A63" s="3" t="s">
        <v>143</v>
      </c>
      <c r="B63" s="3" t="s">
        <v>144</v>
      </c>
      <c r="C63" s="11"/>
      <c r="D63" s="18">
        <v>5900</v>
      </c>
      <c r="E63" s="47">
        <v>5</v>
      </c>
      <c r="F63" s="48">
        <f t="shared" si="0"/>
        <v>5605</v>
      </c>
      <c r="G63" s="47">
        <v>4</v>
      </c>
      <c r="H63" s="48">
        <f t="shared" si="1"/>
        <v>5829.2</v>
      </c>
      <c r="I63" s="49"/>
      <c r="J63" s="48">
        <f t="shared" si="2"/>
        <v>0</v>
      </c>
    </row>
    <row r="64" spans="1:10" ht="24" customHeight="1">
      <c r="A64" s="3" t="s">
        <v>145</v>
      </c>
      <c r="B64" s="3" t="s">
        <v>144</v>
      </c>
      <c r="C64" s="11"/>
      <c r="D64" s="18">
        <v>5990</v>
      </c>
      <c r="E64" s="47">
        <v>5</v>
      </c>
      <c r="F64" s="48">
        <f t="shared" si="0"/>
        <v>5690.5</v>
      </c>
      <c r="G64" s="47">
        <v>4</v>
      </c>
      <c r="H64" s="48">
        <f t="shared" si="1"/>
        <v>5918.12</v>
      </c>
      <c r="I64" s="49"/>
      <c r="J64" s="48">
        <f t="shared" si="2"/>
        <v>0</v>
      </c>
    </row>
    <row r="65" spans="1:10" ht="24" customHeight="1">
      <c r="A65" s="3" t="s">
        <v>146</v>
      </c>
      <c r="B65" s="3" t="s">
        <v>147</v>
      </c>
      <c r="C65" s="11"/>
      <c r="D65" s="18">
        <v>980</v>
      </c>
      <c r="E65" s="47">
        <v>5</v>
      </c>
      <c r="F65" s="48">
        <f t="shared" si="0"/>
        <v>931</v>
      </c>
      <c r="G65" s="47">
        <v>4</v>
      </c>
      <c r="H65" s="48">
        <f t="shared" si="1"/>
        <v>968.24</v>
      </c>
      <c r="I65" s="49"/>
      <c r="J65" s="48">
        <f t="shared" si="2"/>
        <v>0</v>
      </c>
    </row>
    <row r="66" spans="1:10" ht="24" customHeight="1">
      <c r="A66" s="3" t="s">
        <v>148</v>
      </c>
      <c r="B66" s="3" t="s">
        <v>147</v>
      </c>
      <c r="C66" s="11"/>
      <c r="D66" s="18">
        <v>1950</v>
      </c>
      <c r="E66" s="47">
        <v>5</v>
      </c>
      <c r="F66" s="48">
        <f t="shared" si="0"/>
        <v>1852.5</v>
      </c>
      <c r="G66" s="47">
        <v>4</v>
      </c>
      <c r="H66" s="48">
        <f t="shared" si="1"/>
        <v>1926.6</v>
      </c>
      <c r="I66" s="49"/>
      <c r="J66" s="48">
        <f t="shared" si="2"/>
        <v>0</v>
      </c>
    </row>
  </sheetData>
  <mergeCells count="1">
    <mergeCell ref="B19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2.75"/>
  <cols>
    <col min="1" max="1" width="32" customWidth="1"/>
    <col min="2" max="2" width="7.33203125" bestFit="1" customWidth="1"/>
    <col min="3" max="3" width="12.33203125" bestFit="1" customWidth="1"/>
    <col min="4" max="4" width="8.1640625" bestFit="1" customWidth="1"/>
    <col min="5" max="5" width="11.6640625" bestFit="1" customWidth="1"/>
    <col min="6" max="6" width="8.1640625" bestFit="1" customWidth="1"/>
    <col min="7" max="7" width="7" bestFit="1" customWidth="1"/>
    <col min="9" max="9" width="15.5" customWidth="1"/>
    <col min="11" max="11" width="17.83203125" customWidth="1"/>
    <col min="12" max="12" width="13" customWidth="1"/>
    <col min="13" max="13" width="13.5" customWidth="1"/>
  </cols>
  <sheetData>
    <row r="1" spans="1:13" ht="21" customHeight="1">
      <c r="A1" s="26" t="s">
        <v>151</v>
      </c>
      <c r="B1" s="27" t="s">
        <v>152</v>
      </c>
      <c r="C1" s="27" t="s">
        <v>153</v>
      </c>
      <c r="D1" s="27" t="s">
        <v>154</v>
      </c>
      <c r="E1" s="27" t="s">
        <v>155</v>
      </c>
      <c r="F1" s="27" t="s">
        <v>156</v>
      </c>
      <c r="G1" s="27" t="s">
        <v>157</v>
      </c>
      <c r="H1" s="136" t="s">
        <v>1</v>
      </c>
      <c r="I1" s="134" t="s">
        <v>3</v>
      </c>
      <c r="J1" s="134" t="s">
        <v>2</v>
      </c>
      <c r="K1" s="132" t="s">
        <v>4</v>
      </c>
      <c r="L1" s="132" t="s">
        <v>7</v>
      </c>
      <c r="M1" s="132" t="s">
        <v>8</v>
      </c>
    </row>
    <row r="2" spans="1:13" ht="21" customHeight="1">
      <c r="A2" s="28" t="s">
        <v>158</v>
      </c>
      <c r="B2" s="29"/>
      <c r="C2" s="29"/>
      <c r="D2" s="29"/>
      <c r="E2" s="29"/>
      <c r="F2" s="29"/>
      <c r="G2" s="30"/>
      <c r="H2" s="137"/>
      <c r="I2" s="135"/>
      <c r="J2" s="135"/>
      <c r="K2" s="133"/>
      <c r="L2" s="133"/>
      <c r="M2" s="133"/>
    </row>
    <row r="3" spans="1:13" ht="21" customHeight="1">
      <c r="A3" s="31" t="s">
        <v>159</v>
      </c>
      <c r="B3" s="32" t="s">
        <v>160</v>
      </c>
      <c r="C3" s="32" t="s">
        <v>161</v>
      </c>
      <c r="D3" s="32" t="s">
        <v>162</v>
      </c>
      <c r="E3" s="32" t="s">
        <v>163</v>
      </c>
      <c r="F3" s="32" t="s">
        <v>164</v>
      </c>
      <c r="G3" s="40">
        <v>2120</v>
      </c>
      <c r="H3" s="50">
        <v>4</v>
      </c>
      <c r="I3" s="46">
        <f>G3-(G3*H3/100)</f>
        <v>2035.2</v>
      </c>
      <c r="J3" s="50">
        <v>3</v>
      </c>
      <c r="K3" s="46">
        <f>I3+(I3*J3/100)</f>
        <v>2096.2559999999999</v>
      </c>
      <c r="L3" s="45"/>
      <c r="M3" s="46">
        <f>K3*L3</f>
        <v>0</v>
      </c>
    </row>
    <row r="4" spans="1:13" ht="21" customHeight="1">
      <c r="A4" s="33" t="s">
        <v>159</v>
      </c>
      <c r="B4" s="34" t="s">
        <v>160</v>
      </c>
      <c r="C4" s="34" t="s">
        <v>161</v>
      </c>
      <c r="D4" s="34" t="s">
        <v>165</v>
      </c>
      <c r="E4" s="34" t="s">
        <v>163</v>
      </c>
      <c r="F4" s="34" t="s">
        <v>164</v>
      </c>
      <c r="G4" s="41">
        <v>2120</v>
      </c>
      <c r="H4" s="50">
        <v>4</v>
      </c>
      <c r="I4" s="46">
        <f t="shared" ref="I4:I33" si="0">G4-(G4*H4/100)</f>
        <v>2035.2</v>
      </c>
      <c r="J4" s="50">
        <v>3</v>
      </c>
      <c r="K4" s="46">
        <f t="shared" ref="K4:K33" si="1">I4+(I4*J4/100)</f>
        <v>2096.2559999999999</v>
      </c>
      <c r="L4" s="45"/>
      <c r="M4" s="46">
        <f t="shared" ref="M4:M33" si="2">K4*L4</f>
        <v>0</v>
      </c>
    </row>
    <row r="5" spans="1:13" ht="21" customHeight="1">
      <c r="A5" s="31" t="s">
        <v>166</v>
      </c>
      <c r="B5" s="32" t="s">
        <v>167</v>
      </c>
      <c r="C5" s="32" t="s">
        <v>161</v>
      </c>
      <c r="D5" s="32" t="s">
        <v>165</v>
      </c>
      <c r="E5" s="32" t="s">
        <v>163</v>
      </c>
      <c r="F5" s="32" t="s">
        <v>164</v>
      </c>
      <c r="G5" s="40">
        <v>2170</v>
      </c>
      <c r="H5" s="50">
        <v>4</v>
      </c>
      <c r="I5" s="46">
        <f t="shared" si="0"/>
        <v>2083.1999999999998</v>
      </c>
      <c r="J5" s="50">
        <v>3</v>
      </c>
      <c r="K5" s="46">
        <f t="shared" si="1"/>
        <v>2145.6959999999999</v>
      </c>
      <c r="L5" s="45"/>
      <c r="M5" s="46">
        <f t="shared" si="2"/>
        <v>0</v>
      </c>
    </row>
    <row r="6" spans="1:13" ht="21" customHeight="1">
      <c r="A6" s="33" t="s">
        <v>168</v>
      </c>
      <c r="B6" s="34" t="s">
        <v>160</v>
      </c>
      <c r="C6" s="34" t="s">
        <v>161</v>
      </c>
      <c r="D6" s="34" t="s">
        <v>165</v>
      </c>
      <c r="E6" s="34" t="s">
        <v>163</v>
      </c>
      <c r="F6" s="34" t="s">
        <v>164</v>
      </c>
      <c r="G6" s="41">
        <v>2390</v>
      </c>
      <c r="H6" s="50">
        <v>4</v>
      </c>
      <c r="I6" s="46">
        <f t="shared" si="0"/>
        <v>2294.4</v>
      </c>
      <c r="J6" s="50">
        <v>3</v>
      </c>
      <c r="K6" s="46">
        <f t="shared" si="1"/>
        <v>2363.232</v>
      </c>
      <c r="L6" s="45"/>
      <c r="M6" s="46">
        <f t="shared" si="2"/>
        <v>0</v>
      </c>
    </row>
    <row r="7" spans="1:13" ht="21" customHeight="1">
      <c r="A7" s="31" t="s">
        <v>169</v>
      </c>
      <c r="B7" s="32" t="s">
        <v>167</v>
      </c>
      <c r="C7" s="32" t="s">
        <v>161</v>
      </c>
      <c r="D7" s="32" t="s">
        <v>165</v>
      </c>
      <c r="E7" s="32" t="s">
        <v>163</v>
      </c>
      <c r="F7" s="32" t="s">
        <v>164</v>
      </c>
      <c r="G7" s="40">
        <v>2440</v>
      </c>
      <c r="H7" s="50">
        <v>4</v>
      </c>
      <c r="I7" s="46">
        <f t="shared" si="0"/>
        <v>2342.4</v>
      </c>
      <c r="J7" s="50">
        <v>3</v>
      </c>
      <c r="K7" s="46">
        <f t="shared" si="1"/>
        <v>2412.672</v>
      </c>
      <c r="L7" s="45"/>
      <c r="M7" s="46">
        <f t="shared" si="2"/>
        <v>0</v>
      </c>
    </row>
    <row r="8" spans="1:13" ht="21" customHeight="1">
      <c r="A8" s="33" t="s">
        <v>170</v>
      </c>
      <c r="B8" s="34" t="s">
        <v>160</v>
      </c>
      <c r="C8" s="34" t="s">
        <v>161</v>
      </c>
      <c r="D8" s="34" t="s">
        <v>165</v>
      </c>
      <c r="E8" s="34" t="s">
        <v>163</v>
      </c>
      <c r="F8" s="34" t="s">
        <v>164</v>
      </c>
      <c r="G8" s="41">
        <v>3160</v>
      </c>
      <c r="H8" s="50">
        <v>4</v>
      </c>
      <c r="I8" s="46">
        <f t="shared" si="0"/>
        <v>3033.6</v>
      </c>
      <c r="J8" s="50">
        <v>3</v>
      </c>
      <c r="K8" s="46">
        <f t="shared" si="1"/>
        <v>3124.6079999999997</v>
      </c>
      <c r="L8" s="45"/>
      <c r="M8" s="46">
        <f t="shared" si="2"/>
        <v>0</v>
      </c>
    </row>
    <row r="9" spans="1:13" ht="21" customHeight="1">
      <c r="A9" s="31" t="s">
        <v>171</v>
      </c>
      <c r="B9" s="32" t="s">
        <v>167</v>
      </c>
      <c r="C9" s="32" t="s">
        <v>161</v>
      </c>
      <c r="D9" s="32" t="s">
        <v>165</v>
      </c>
      <c r="E9" s="32" t="s">
        <v>163</v>
      </c>
      <c r="F9" s="32" t="s">
        <v>164</v>
      </c>
      <c r="G9" s="40">
        <v>3220</v>
      </c>
      <c r="H9" s="50">
        <v>4</v>
      </c>
      <c r="I9" s="46">
        <f t="shared" si="0"/>
        <v>3091.2</v>
      </c>
      <c r="J9" s="50">
        <v>3</v>
      </c>
      <c r="K9" s="46">
        <f t="shared" si="1"/>
        <v>3183.9359999999997</v>
      </c>
      <c r="L9" s="45"/>
      <c r="M9" s="46">
        <f t="shared" si="2"/>
        <v>0</v>
      </c>
    </row>
    <row r="10" spans="1:13" ht="21" customHeight="1">
      <c r="A10" s="33" t="s">
        <v>172</v>
      </c>
      <c r="B10" s="34" t="s">
        <v>167</v>
      </c>
      <c r="C10" s="34" t="s">
        <v>161</v>
      </c>
      <c r="D10" s="34" t="s">
        <v>173</v>
      </c>
      <c r="E10" s="34" t="s">
        <v>174</v>
      </c>
      <c r="F10" s="34" t="s">
        <v>164</v>
      </c>
      <c r="G10" s="41">
        <v>3175</v>
      </c>
      <c r="H10" s="50">
        <v>4</v>
      </c>
      <c r="I10" s="46">
        <f t="shared" si="0"/>
        <v>3048</v>
      </c>
      <c r="J10" s="50">
        <v>3</v>
      </c>
      <c r="K10" s="46">
        <f t="shared" si="1"/>
        <v>3139.44</v>
      </c>
      <c r="L10" s="45"/>
      <c r="M10" s="46">
        <f t="shared" si="2"/>
        <v>0</v>
      </c>
    </row>
    <row r="11" spans="1:13" ht="21" customHeight="1">
      <c r="A11" s="28" t="s">
        <v>175</v>
      </c>
      <c r="B11" s="29"/>
      <c r="C11" s="29"/>
      <c r="D11" s="29"/>
      <c r="E11" s="29"/>
      <c r="F11" s="29"/>
      <c r="G11" s="29"/>
      <c r="H11" s="50">
        <v>4</v>
      </c>
      <c r="I11" s="46">
        <f t="shared" si="0"/>
        <v>0</v>
      </c>
      <c r="J11" s="50">
        <v>3</v>
      </c>
      <c r="K11" s="46">
        <f t="shared" si="1"/>
        <v>0</v>
      </c>
      <c r="L11" s="45"/>
      <c r="M11" s="46">
        <f t="shared" si="2"/>
        <v>0</v>
      </c>
    </row>
    <row r="12" spans="1:13" ht="21" customHeight="1">
      <c r="A12" s="31" t="s">
        <v>176</v>
      </c>
      <c r="B12" s="32" t="s">
        <v>160</v>
      </c>
      <c r="C12" s="32" t="s">
        <v>177</v>
      </c>
      <c r="D12" s="32" t="s">
        <v>165</v>
      </c>
      <c r="E12" s="32" t="s">
        <v>163</v>
      </c>
      <c r="F12" s="32" t="s">
        <v>178</v>
      </c>
      <c r="G12" s="40">
        <v>2820</v>
      </c>
      <c r="H12" s="50">
        <v>4</v>
      </c>
      <c r="I12" s="46">
        <f t="shared" si="0"/>
        <v>2707.2</v>
      </c>
      <c r="J12" s="50">
        <v>3</v>
      </c>
      <c r="K12" s="46">
        <f t="shared" si="1"/>
        <v>2788.4159999999997</v>
      </c>
      <c r="L12" s="45"/>
      <c r="M12" s="46">
        <f t="shared" si="2"/>
        <v>0</v>
      </c>
    </row>
    <row r="13" spans="1:13" ht="21" customHeight="1">
      <c r="A13" s="33" t="s">
        <v>179</v>
      </c>
      <c r="B13" s="34" t="s">
        <v>167</v>
      </c>
      <c r="C13" s="34" t="s">
        <v>177</v>
      </c>
      <c r="D13" s="34" t="s">
        <v>165</v>
      </c>
      <c r="E13" s="34" t="s">
        <v>163</v>
      </c>
      <c r="F13" s="34" t="s">
        <v>178</v>
      </c>
      <c r="G13" s="41">
        <v>2870</v>
      </c>
      <c r="H13" s="50">
        <v>4</v>
      </c>
      <c r="I13" s="46">
        <f t="shared" si="0"/>
        <v>2755.2</v>
      </c>
      <c r="J13" s="50">
        <v>3</v>
      </c>
      <c r="K13" s="46">
        <f t="shared" si="1"/>
        <v>2837.8559999999998</v>
      </c>
      <c r="L13" s="45"/>
      <c r="M13" s="46">
        <f t="shared" si="2"/>
        <v>0</v>
      </c>
    </row>
    <row r="14" spans="1:13" ht="21" customHeight="1">
      <c r="A14" s="31" t="s">
        <v>180</v>
      </c>
      <c r="B14" s="32" t="s">
        <v>160</v>
      </c>
      <c r="C14" s="32" t="s">
        <v>177</v>
      </c>
      <c r="D14" s="32" t="s">
        <v>165</v>
      </c>
      <c r="E14" s="32" t="s">
        <v>163</v>
      </c>
      <c r="F14" s="32" t="s">
        <v>178</v>
      </c>
      <c r="G14" s="40">
        <v>3090</v>
      </c>
      <c r="H14" s="50">
        <v>4</v>
      </c>
      <c r="I14" s="46">
        <f t="shared" si="0"/>
        <v>2966.4</v>
      </c>
      <c r="J14" s="50">
        <v>3</v>
      </c>
      <c r="K14" s="46">
        <f t="shared" si="1"/>
        <v>3055.3920000000003</v>
      </c>
      <c r="L14" s="45"/>
      <c r="M14" s="46">
        <f t="shared" si="2"/>
        <v>0</v>
      </c>
    </row>
    <row r="15" spans="1:13" ht="21" customHeight="1">
      <c r="A15" s="33" t="s">
        <v>181</v>
      </c>
      <c r="B15" s="34" t="s">
        <v>167</v>
      </c>
      <c r="C15" s="34" t="s">
        <v>177</v>
      </c>
      <c r="D15" s="34" t="s">
        <v>165</v>
      </c>
      <c r="E15" s="34" t="s">
        <v>163</v>
      </c>
      <c r="F15" s="34" t="s">
        <v>182</v>
      </c>
      <c r="G15" s="41">
        <v>3140</v>
      </c>
      <c r="H15" s="50">
        <v>4</v>
      </c>
      <c r="I15" s="46">
        <f t="shared" si="0"/>
        <v>3014.4</v>
      </c>
      <c r="J15" s="50">
        <v>3</v>
      </c>
      <c r="K15" s="46">
        <f t="shared" si="1"/>
        <v>3104.8319999999999</v>
      </c>
      <c r="L15" s="45"/>
      <c r="M15" s="46">
        <f t="shared" si="2"/>
        <v>0</v>
      </c>
    </row>
    <row r="16" spans="1:13" ht="21" customHeight="1">
      <c r="A16" s="31" t="s">
        <v>183</v>
      </c>
      <c r="B16" s="32" t="s">
        <v>160</v>
      </c>
      <c r="C16" s="32" t="s">
        <v>177</v>
      </c>
      <c r="D16" s="32" t="s">
        <v>165</v>
      </c>
      <c r="E16" s="32" t="s">
        <v>163</v>
      </c>
      <c r="F16" s="32" t="s">
        <v>178</v>
      </c>
      <c r="G16" s="40">
        <v>4020</v>
      </c>
      <c r="H16" s="50">
        <v>4</v>
      </c>
      <c r="I16" s="46">
        <f t="shared" si="0"/>
        <v>3859.2</v>
      </c>
      <c r="J16" s="50">
        <v>3</v>
      </c>
      <c r="K16" s="46">
        <f t="shared" si="1"/>
        <v>3974.9759999999997</v>
      </c>
      <c r="L16" s="45"/>
      <c r="M16" s="46">
        <f t="shared" si="2"/>
        <v>0</v>
      </c>
    </row>
    <row r="17" spans="1:13" ht="21" customHeight="1">
      <c r="A17" s="33" t="s">
        <v>184</v>
      </c>
      <c r="B17" s="34" t="s">
        <v>167</v>
      </c>
      <c r="C17" s="34" t="s">
        <v>177</v>
      </c>
      <c r="D17" s="34" t="s">
        <v>165</v>
      </c>
      <c r="E17" s="34" t="s">
        <v>163</v>
      </c>
      <c r="F17" s="34" t="s">
        <v>178</v>
      </c>
      <c r="G17" s="41">
        <v>4070</v>
      </c>
      <c r="H17" s="50">
        <v>4</v>
      </c>
      <c r="I17" s="46">
        <f t="shared" si="0"/>
        <v>3907.2</v>
      </c>
      <c r="J17" s="50">
        <v>3</v>
      </c>
      <c r="K17" s="46">
        <f t="shared" si="1"/>
        <v>4024.4159999999997</v>
      </c>
      <c r="L17" s="45"/>
      <c r="M17" s="46">
        <f t="shared" si="2"/>
        <v>0</v>
      </c>
    </row>
    <row r="18" spans="1:13" ht="21" customHeight="1">
      <c r="A18" s="33" t="s">
        <v>185</v>
      </c>
      <c r="B18" s="34" t="s">
        <v>167</v>
      </c>
      <c r="C18" s="34" t="s">
        <v>177</v>
      </c>
      <c r="D18" s="34" t="s">
        <v>173</v>
      </c>
      <c r="E18" s="34" t="s">
        <v>174</v>
      </c>
      <c r="F18" s="34" t="s">
        <v>178</v>
      </c>
      <c r="G18" s="41">
        <v>3975</v>
      </c>
      <c r="H18" s="50">
        <v>4</v>
      </c>
      <c r="I18" s="46">
        <f t="shared" si="0"/>
        <v>3816</v>
      </c>
      <c r="J18" s="50">
        <v>3</v>
      </c>
      <c r="K18" s="46">
        <f t="shared" si="1"/>
        <v>3930.48</v>
      </c>
      <c r="L18" s="45"/>
      <c r="M18" s="46">
        <f t="shared" si="2"/>
        <v>0</v>
      </c>
    </row>
    <row r="19" spans="1:13" ht="21" customHeight="1">
      <c r="A19" s="28" t="s">
        <v>186</v>
      </c>
      <c r="B19" s="29"/>
      <c r="C19" s="29"/>
      <c r="D19" s="29"/>
      <c r="E19" s="29"/>
      <c r="F19" s="29"/>
      <c r="G19" s="29"/>
      <c r="H19" s="50">
        <v>4</v>
      </c>
      <c r="I19" s="46">
        <f t="shared" si="0"/>
        <v>0</v>
      </c>
      <c r="J19" s="50">
        <v>3</v>
      </c>
      <c r="K19" s="46">
        <f t="shared" si="1"/>
        <v>0</v>
      </c>
      <c r="L19" s="45"/>
      <c r="M19" s="46">
        <f t="shared" si="2"/>
        <v>0</v>
      </c>
    </row>
    <row r="20" spans="1:13" ht="21" customHeight="1">
      <c r="A20" s="31" t="s">
        <v>187</v>
      </c>
      <c r="B20" s="32" t="s">
        <v>160</v>
      </c>
      <c r="C20" s="32" t="s">
        <v>188</v>
      </c>
      <c r="D20" s="32" t="s">
        <v>165</v>
      </c>
      <c r="E20" s="32" t="s">
        <v>163</v>
      </c>
      <c r="F20" s="32" t="s">
        <v>164</v>
      </c>
      <c r="G20" s="40">
        <v>3970</v>
      </c>
      <c r="H20" s="50">
        <v>4</v>
      </c>
      <c r="I20" s="46">
        <f t="shared" si="0"/>
        <v>3811.2</v>
      </c>
      <c r="J20" s="50">
        <v>3</v>
      </c>
      <c r="K20" s="46">
        <f t="shared" si="1"/>
        <v>3925.5359999999996</v>
      </c>
      <c r="L20" s="45"/>
      <c r="M20" s="46">
        <f t="shared" si="2"/>
        <v>0</v>
      </c>
    </row>
    <row r="21" spans="1:13" ht="21" customHeight="1">
      <c r="A21" s="33" t="s">
        <v>189</v>
      </c>
      <c r="B21" s="34" t="s">
        <v>167</v>
      </c>
      <c r="C21" s="34" t="s">
        <v>188</v>
      </c>
      <c r="D21" s="34" t="s">
        <v>165</v>
      </c>
      <c r="E21" s="34" t="s">
        <v>163</v>
      </c>
      <c r="F21" s="34" t="s">
        <v>164</v>
      </c>
      <c r="G21" s="41">
        <v>4020</v>
      </c>
      <c r="H21" s="50">
        <v>4</v>
      </c>
      <c r="I21" s="46">
        <f t="shared" si="0"/>
        <v>3859.2</v>
      </c>
      <c r="J21" s="50">
        <v>3</v>
      </c>
      <c r="K21" s="46">
        <f t="shared" si="1"/>
        <v>3974.9759999999997</v>
      </c>
      <c r="L21" s="45"/>
      <c r="M21" s="46">
        <f t="shared" si="2"/>
        <v>0</v>
      </c>
    </row>
    <row r="22" spans="1:13" ht="21" customHeight="1">
      <c r="A22" s="28" t="s">
        <v>190</v>
      </c>
      <c r="B22" s="29"/>
      <c r="C22" s="29"/>
      <c r="D22" s="29"/>
      <c r="E22" s="29"/>
      <c r="F22" s="29"/>
      <c r="G22" s="29"/>
      <c r="H22" s="50">
        <v>4</v>
      </c>
      <c r="I22" s="46">
        <f t="shared" si="0"/>
        <v>0</v>
      </c>
      <c r="J22" s="50">
        <v>3</v>
      </c>
      <c r="K22" s="46">
        <f t="shared" si="1"/>
        <v>0</v>
      </c>
      <c r="L22" s="45"/>
      <c r="M22" s="46">
        <f t="shared" si="2"/>
        <v>0</v>
      </c>
    </row>
    <row r="23" spans="1:13" ht="21" customHeight="1">
      <c r="A23" s="31" t="s">
        <v>191</v>
      </c>
      <c r="B23" s="32" t="s">
        <v>160</v>
      </c>
      <c r="C23" s="32" t="s">
        <v>192</v>
      </c>
      <c r="D23" s="32" t="s">
        <v>165</v>
      </c>
      <c r="E23" s="32" t="s">
        <v>163</v>
      </c>
      <c r="F23" s="32" t="s">
        <v>164</v>
      </c>
      <c r="G23" s="40">
        <v>5850</v>
      </c>
      <c r="H23" s="50">
        <v>4</v>
      </c>
      <c r="I23" s="46">
        <f t="shared" si="0"/>
        <v>5616</v>
      </c>
      <c r="J23" s="50">
        <v>3</v>
      </c>
      <c r="K23" s="46">
        <f t="shared" si="1"/>
        <v>5784.48</v>
      </c>
      <c r="L23" s="45"/>
      <c r="M23" s="46">
        <f t="shared" si="2"/>
        <v>0</v>
      </c>
    </row>
    <row r="24" spans="1:13" ht="21" customHeight="1">
      <c r="A24" s="33" t="s">
        <v>193</v>
      </c>
      <c r="B24" s="34" t="s">
        <v>167</v>
      </c>
      <c r="C24" s="34" t="s">
        <v>192</v>
      </c>
      <c r="D24" s="34" t="s">
        <v>165</v>
      </c>
      <c r="E24" s="34" t="s">
        <v>163</v>
      </c>
      <c r="F24" s="34" t="s">
        <v>164</v>
      </c>
      <c r="G24" s="41">
        <v>5900</v>
      </c>
      <c r="H24" s="50">
        <v>4</v>
      </c>
      <c r="I24" s="46">
        <f t="shared" si="0"/>
        <v>5664</v>
      </c>
      <c r="J24" s="50">
        <v>3</v>
      </c>
      <c r="K24" s="46">
        <f t="shared" si="1"/>
        <v>5833.92</v>
      </c>
      <c r="L24" s="45"/>
      <c r="M24" s="46">
        <f t="shared" si="2"/>
        <v>0</v>
      </c>
    </row>
    <row r="25" spans="1:13" ht="21" customHeight="1">
      <c r="A25" s="28" t="s">
        <v>194</v>
      </c>
      <c r="B25" s="29"/>
      <c r="C25" s="29"/>
      <c r="D25" s="29"/>
      <c r="E25" s="29"/>
      <c r="F25" s="30"/>
      <c r="G25" s="39"/>
      <c r="H25" s="50">
        <v>4</v>
      </c>
      <c r="I25" s="46">
        <f t="shared" si="0"/>
        <v>0</v>
      </c>
      <c r="J25" s="50">
        <v>3</v>
      </c>
      <c r="K25" s="46">
        <f t="shared" si="1"/>
        <v>0</v>
      </c>
      <c r="L25" s="45"/>
      <c r="M25" s="46">
        <f t="shared" si="2"/>
        <v>0</v>
      </c>
    </row>
    <row r="26" spans="1:13" ht="21" customHeight="1">
      <c r="A26" s="33" t="s">
        <v>195</v>
      </c>
      <c r="B26" s="34" t="s">
        <v>196</v>
      </c>
      <c r="C26" s="130" t="s">
        <v>197</v>
      </c>
      <c r="D26" s="131"/>
      <c r="E26" s="38" t="s">
        <v>216</v>
      </c>
      <c r="F26" s="34" t="s">
        <v>199</v>
      </c>
      <c r="G26" s="42">
        <v>3080</v>
      </c>
      <c r="H26" s="50">
        <v>4</v>
      </c>
      <c r="I26" s="46">
        <f t="shared" si="0"/>
        <v>2956.8</v>
      </c>
      <c r="J26" s="50">
        <v>3</v>
      </c>
      <c r="K26" s="46">
        <f t="shared" si="1"/>
        <v>3045.5040000000004</v>
      </c>
      <c r="L26" s="45"/>
      <c r="M26" s="46">
        <f t="shared" si="2"/>
        <v>0</v>
      </c>
    </row>
    <row r="27" spans="1:13" ht="21" customHeight="1">
      <c r="A27" s="31" t="s">
        <v>200</v>
      </c>
      <c r="B27" s="32" t="s">
        <v>201</v>
      </c>
      <c r="C27" s="128" t="s">
        <v>197</v>
      </c>
      <c r="D27" s="129"/>
      <c r="E27" s="35" t="s">
        <v>198</v>
      </c>
      <c r="F27" s="32" t="s">
        <v>199</v>
      </c>
      <c r="G27" s="43">
        <v>3620</v>
      </c>
      <c r="H27" s="50">
        <v>4</v>
      </c>
      <c r="I27" s="46">
        <f t="shared" si="0"/>
        <v>3475.2</v>
      </c>
      <c r="J27" s="50">
        <v>3</v>
      </c>
      <c r="K27" s="46">
        <f t="shared" si="1"/>
        <v>3579.4559999999997</v>
      </c>
      <c r="L27" s="45"/>
      <c r="M27" s="46">
        <f t="shared" si="2"/>
        <v>0</v>
      </c>
    </row>
    <row r="28" spans="1:13" ht="21" customHeight="1">
      <c r="A28" s="33" t="s">
        <v>202</v>
      </c>
      <c r="B28" s="34" t="s">
        <v>203</v>
      </c>
      <c r="C28" s="138" t="s">
        <v>197</v>
      </c>
      <c r="D28" s="139"/>
      <c r="E28" s="34" t="s">
        <v>198</v>
      </c>
      <c r="F28" s="34" t="s">
        <v>204</v>
      </c>
      <c r="G28" s="44">
        <v>5620</v>
      </c>
      <c r="H28" s="50">
        <v>4</v>
      </c>
      <c r="I28" s="46">
        <f t="shared" si="0"/>
        <v>5395.2</v>
      </c>
      <c r="J28" s="50">
        <v>3</v>
      </c>
      <c r="K28" s="46">
        <f t="shared" si="1"/>
        <v>5557.0559999999996</v>
      </c>
      <c r="L28" s="45"/>
      <c r="M28" s="46">
        <f t="shared" si="2"/>
        <v>0</v>
      </c>
    </row>
    <row r="29" spans="1:13" ht="21" customHeight="1">
      <c r="A29" s="31" t="s">
        <v>205</v>
      </c>
      <c r="B29" s="32" t="s">
        <v>203</v>
      </c>
      <c r="C29" s="128" t="s">
        <v>206</v>
      </c>
      <c r="D29" s="129"/>
      <c r="E29" s="32" t="s">
        <v>198</v>
      </c>
      <c r="F29" s="32" t="s">
        <v>207</v>
      </c>
      <c r="G29" s="43">
        <v>6500</v>
      </c>
      <c r="H29" s="50">
        <v>4</v>
      </c>
      <c r="I29" s="46">
        <f t="shared" si="0"/>
        <v>6240</v>
      </c>
      <c r="J29" s="50">
        <v>3</v>
      </c>
      <c r="K29" s="46">
        <f t="shared" si="1"/>
        <v>6427.2</v>
      </c>
      <c r="L29" s="45"/>
      <c r="M29" s="46">
        <f t="shared" si="2"/>
        <v>0</v>
      </c>
    </row>
    <row r="30" spans="1:13" ht="21" customHeight="1">
      <c r="A30" s="36" t="s">
        <v>208</v>
      </c>
      <c r="B30" s="37"/>
      <c r="C30" s="140"/>
      <c r="D30" s="140"/>
      <c r="E30" s="37"/>
      <c r="F30" s="37"/>
      <c r="G30" s="37"/>
      <c r="H30" s="50">
        <v>4</v>
      </c>
      <c r="I30" s="46">
        <f t="shared" si="0"/>
        <v>0</v>
      </c>
      <c r="J30" s="50">
        <v>3</v>
      </c>
      <c r="K30" s="46">
        <f t="shared" si="1"/>
        <v>0</v>
      </c>
      <c r="L30" s="45"/>
      <c r="M30" s="46">
        <f t="shared" si="2"/>
        <v>0</v>
      </c>
    </row>
    <row r="31" spans="1:13" ht="21" customHeight="1">
      <c r="A31" s="33" t="s">
        <v>209</v>
      </c>
      <c r="B31" s="34" t="s">
        <v>201</v>
      </c>
      <c r="C31" s="138" t="s">
        <v>210</v>
      </c>
      <c r="D31" s="139"/>
      <c r="E31" s="34" t="s">
        <v>198</v>
      </c>
      <c r="F31" s="34" t="s">
        <v>207</v>
      </c>
      <c r="G31" s="42">
        <v>6500</v>
      </c>
      <c r="H31" s="50">
        <v>4</v>
      </c>
      <c r="I31" s="46">
        <f t="shared" si="0"/>
        <v>6240</v>
      </c>
      <c r="J31" s="50">
        <v>3</v>
      </c>
      <c r="K31" s="46">
        <f t="shared" si="1"/>
        <v>6427.2</v>
      </c>
      <c r="L31" s="45"/>
      <c r="M31" s="46">
        <f t="shared" si="2"/>
        <v>0</v>
      </c>
    </row>
    <row r="32" spans="1:13" ht="21" customHeight="1">
      <c r="A32" s="31" t="s">
        <v>211</v>
      </c>
      <c r="B32" s="32" t="s">
        <v>212</v>
      </c>
      <c r="C32" s="128" t="s">
        <v>213</v>
      </c>
      <c r="D32" s="129"/>
      <c r="E32" s="32" t="s">
        <v>198</v>
      </c>
      <c r="F32" s="32" t="s">
        <v>207</v>
      </c>
      <c r="G32" s="43">
        <v>7950</v>
      </c>
      <c r="H32" s="50">
        <v>4</v>
      </c>
      <c r="I32" s="46">
        <f t="shared" si="0"/>
        <v>7632</v>
      </c>
      <c r="J32" s="50">
        <v>3</v>
      </c>
      <c r="K32" s="46">
        <f t="shared" si="1"/>
        <v>7860.96</v>
      </c>
      <c r="L32" s="45"/>
      <c r="M32" s="46">
        <f t="shared" si="2"/>
        <v>0</v>
      </c>
    </row>
    <row r="33" spans="1:13" ht="21" customHeight="1">
      <c r="A33" s="33" t="s">
        <v>214</v>
      </c>
      <c r="B33" s="34" t="s">
        <v>215</v>
      </c>
      <c r="C33" s="138" t="s">
        <v>213</v>
      </c>
      <c r="D33" s="139"/>
      <c r="E33" s="34" t="s">
        <v>198</v>
      </c>
      <c r="F33" s="34" t="s">
        <v>207</v>
      </c>
      <c r="G33" s="42">
        <v>10800</v>
      </c>
      <c r="H33" s="50">
        <v>4</v>
      </c>
      <c r="I33" s="46">
        <f t="shared" si="0"/>
        <v>10368</v>
      </c>
      <c r="J33" s="50">
        <v>3</v>
      </c>
      <c r="K33" s="46">
        <f t="shared" si="1"/>
        <v>10679.04</v>
      </c>
      <c r="L33" s="45"/>
      <c r="M33" s="46">
        <f t="shared" si="2"/>
        <v>0</v>
      </c>
    </row>
  </sheetData>
  <mergeCells count="14">
    <mergeCell ref="C28:D28"/>
    <mergeCell ref="C33:D33"/>
    <mergeCell ref="C32:D32"/>
    <mergeCell ref="C31:D31"/>
    <mergeCell ref="C30:D30"/>
    <mergeCell ref="C29:D29"/>
    <mergeCell ref="C27:D27"/>
    <mergeCell ref="C26:D26"/>
    <mergeCell ref="M1:M2"/>
    <mergeCell ref="L1:L2"/>
    <mergeCell ref="K1:K2"/>
    <mergeCell ref="J1:J2"/>
    <mergeCell ref="I1:I2"/>
    <mergeCell ref="H1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/>
  <cols>
    <col min="1" max="1" width="15" customWidth="1"/>
    <col min="2" max="2" width="34.6640625" customWidth="1"/>
    <col min="3" max="3" width="25" customWidth="1"/>
    <col min="4" max="8" width="15" customWidth="1"/>
    <col min="10" max="10" width="15.33203125" customWidth="1"/>
    <col min="12" max="12" width="20.83203125" customWidth="1"/>
    <col min="13" max="13" width="12.6640625" customWidth="1"/>
    <col min="14" max="14" width="14.33203125" customWidth="1"/>
  </cols>
  <sheetData>
    <row r="1" spans="1:14" ht="15">
      <c r="A1" s="141" t="s">
        <v>487</v>
      </c>
      <c r="B1" s="141" t="s">
        <v>488</v>
      </c>
      <c r="C1" s="141" t="s">
        <v>489</v>
      </c>
      <c r="D1" s="141" t="s">
        <v>490</v>
      </c>
      <c r="E1" s="141" t="s">
        <v>491</v>
      </c>
      <c r="F1" s="141" t="s">
        <v>492</v>
      </c>
      <c r="G1" s="141" t="s">
        <v>493</v>
      </c>
      <c r="H1" s="141" t="s">
        <v>494</v>
      </c>
      <c r="I1" s="136" t="s">
        <v>1</v>
      </c>
      <c r="J1" s="134" t="s">
        <v>3</v>
      </c>
      <c r="K1" s="134" t="s">
        <v>2</v>
      </c>
      <c r="L1" s="132" t="s">
        <v>4</v>
      </c>
      <c r="M1" s="132" t="s">
        <v>7</v>
      </c>
      <c r="N1" s="132" t="s">
        <v>8</v>
      </c>
    </row>
    <row r="2" spans="1:14" ht="15">
      <c r="A2" s="142" t="s">
        <v>495</v>
      </c>
      <c r="B2" s="143"/>
      <c r="C2" s="143"/>
      <c r="D2" s="143"/>
      <c r="E2" s="143"/>
      <c r="F2" s="143"/>
      <c r="G2" s="143"/>
      <c r="H2" s="143"/>
      <c r="I2" s="137"/>
      <c r="J2" s="135"/>
      <c r="K2" s="135"/>
      <c r="L2" s="133"/>
      <c r="M2" s="133"/>
      <c r="N2" s="133"/>
    </row>
    <row r="3" spans="1:14" ht="25.5" customHeight="1">
      <c r="A3" s="144" t="s">
        <v>496</v>
      </c>
      <c r="B3" s="145" t="s">
        <v>497</v>
      </c>
      <c r="C3" s="144" t="s">
        <v>498</v>
      </c>
      <c r="D3" s="144" t="s">
        <v>499</v>
      </c>
      <c r="E3" s="144" t="s">
        <v>500</v>
      </c>
      <c r="F3" s="144" t="s">
        <v>501</v>
      </c>
      <c r="G3" s="144" t="s">
        <v>502</v>
      </c>
      <c r="H3" s="157">
        <v>580</v>
      </c>
      <c r="I3" s="50">
        <v>5</v>
      </c>
      <c r="J3" s="163">
        <f>H3-(H3*I3/100)</f>
        <v>551</v>
      </c>
      <c r="K3" s="164">
        <v>4</v>
      </c>
      <c r="L3" s="163">
        <f>J3+(J3*K3/100)</f>
        <v>573.04</v>
      </c>
      <c r="M3" s="162"/>
      <c r="N3" s="163">
        <f>L3*M3</f>
        <v>0</v>
      </c>
    </row>
    <row r="4" spans="1:14" ht="25.5" customHeight="1">
      <c r="A4" s="146" t="s">
        <v>496</v>
      </c>
      <c r="B4" s="147" t="s">
        <v>503</v>
      </c>
      <c r="C4" s="146" t="s">
        <v>504</v>
      </c>
      <c r="D4" s="146" t="s">
        <v>499</v>
      </c>
      <c r="E4" s="146" t="s">
        <v>500</v>
      </c>
      <c r="F4" s="146" t="s">
        <v>501</v>
      </c>
      <c r="G4" s="146" t="s">
        <v>502</v>
      </c>
      <c r="H4" s="158">
        <v>640</v>
      </c>
      <c r="I4" s="50">
        <v>5</v>
      </c>
      <c r="J4" s="163">
        <f t="shared" ref="J4:J35" si="0">H4-(H4*I4/100)</f>
        <v>608</v>
      </c>
      <c r="K4" s="164">
        <v>4</v>
      </c>
      <c r="L4" s="163">
        <f t="shared" ref="L4:L35" si="1">J4+(J4*K4/100)</f>
        <v>632.32000000000005</v>
      </c>
      <c r="M4" s="162"/>
      <c r="N4" s="163">
        <f t="shared" ref="N4:N35" si="2">L4*M4</f>
        <v>0</v>
      </c>
    </row>
    <row r="5" spans="1:14" ht="25.5" customHeight="1">
      <c r="A5" s="144" t="s">
        <v>496</v>
      </c>
      <c r="B5" s="145" t="s">
        <v>505</v>
      </c>
      <c r="C5" s="144" t="s">
        <v>498</v>
      </c>
      <c r="D5" s="144" t="s">
        <v>499</v>
      </c>
      <c r="E5" s="144" t="s">
        <v>500</v>
      </c>
      <c r="F5" s="144" t="s">
        <v>506</v>
      </c>
      <c r="G5" s="144" t="s">
        <v>502</v>
      </c>
      <c r="H5" s="157">
        <v>725</v>
      </c>
      <c r="I5" s="50">
        <v>5</v>
      </c>
      <c r="J5" s="163">
        <f t="shared" si="0"/>
        <v>688.75</v>
      </c>
      <c r="K5" s="164">
        <v>4</v>
      </c>
      <c r="L5" s="163">
        <f t="shared" si="1"/>
        <v>716.3</v>
      </c>
      <c r="M5" s="162"/>
      <c r="N5" s="163">
        <f t="shared" si="2"/>
        <v>0</v>
      </c>
    </row>
    <row r="6" spans="1:14" ht="25.5" customHeight="1">
      <c r="A6" s="146" t="s">
        <v>496</v>
      </c>
      <c r="B6" s="147" t="s">
        <v>507</v>
      </c>
      <c r="C6" s="146" t="s">
        <v>504</v>
      </c>
      <c r="D6" s="146" t="s">
        <v>499</v>
      </c>
      <c r="E6" s="146" t="s">
        <v>500</v>
      </c>
      <c r="F6" s="146" t="s">
        <v>506</v>
      </c>
      <c r="G6" s="146" t="s">
        <v>502</v>
      </c>
      <c r="H6" s="158">
        <v>785</v>
      </c>
      <c r="I6" s="50">
        <v>5</v>
      </c>
      <c r="J6" s="163">
        <f t="shared" si="0"/>
        <v>745.75</v>
      </c>
      <c r="K6" s="164">
        <v>4</v>
      </c>
      <c r="L6" s="163">
        <f t="shared" si="1"/>
        <v>775.58</v>
      </c>
      <c r="M6" s="162"/>
      <c r="N6" s="163">
        <f t="shared" si="2"/>
        <v>0</v>
      </c>
    </row>
    <row r="7" spans="1:14" ht="25.5" customHeight="1">
      <c r="A7" s="142" t="s">
        <v>508</v>
      </c>
      <c r="B7" s="143"/>
      <c r="C7" s="143"/>
      <c r="D7" s="143"/>
      <c r="E7" s="143"/>
      <c r="F7" s="143"/>
      <c r="G7" s="143"/>
      <c r="H7" s="143"/>
      <c r="I7" s="50">
        <v>5</v>
      </c>
      <c r="J7" s="163">
        <f t="shared" si="0"/>
        <v>0</v>
      </c>
      <c r="K7" s="164">
        <v>4</v>
      </c>
      <c r="L7" s="163">
        <f t="shared" si="1"/>
        <v>0</v>
      </c>
      <c r="M7" s="162"/>
      <c r="N7" s="163">
        <f t="shared" si="2"/>
        <v>0</v>
      </c>
    </row>
    <row r="8" spans="1:14" ht="25.5" customHeight="1">
      <c r="A8" s="144" t="s">
        <v>496</v>
      </c>
      <c r="B8" s="145" t="s">
        <v>509</v>
      </c>
      <c r="C8" s="144" t="s">
        <v>498</v>
      </c>
      <c r="D8" s="144" t="s">
        <v>499</v>
      </c>
      <c r="E8" s="144" t="s">
        <v>500</v>
      </c>
      <c r="F8" s="144" t="s">
        <v>506</v>
      </c>
      <c r="G8" s="144" t="s">
        <v>510</v>
      </c>
      <c r="H8" s="157">
        <v>965</v>
      </c>
      <c r="I8" s="50">
        <v>5</v>
      </c>
      <c r="J8" s="163">
        <f t="shared" si="0"/>
        <v>916.75</v>
      </c>
      <c r="K8" s="164">
        <v>4</v>
      </c>
      <c r="L8" s="163">
        <f t="shared" si="1"/>
        <v>953.42</v>
      </c>
      <c r="M8" s="162"/>
      <c r="N8" s="163">
        <f t="shared" si="2"/>
        <v>0</v>
      </c>
    </row>
    <row r="9" spans="1:14" ht="25.5" customHeight="1">
      <c r="A9" s="146" t="s">
        <v>496</v>
      </c>
      <c r="B9" s="147" t="s">
        <v>511</v>
      </c>
      <c r="C9" s="146" t="s">
        <v>504</v>
      </c>
      <c r="D9" s="146" t="s">
        <v>499</v>
      </c>
      <c r="E9" s="146" t="s">
        <v>500</v>
      </c>
      <c r="F9" s="146" t="s">
        <v>506</v>
      </c>
      <c r="G9" s="146" t="s">
        <v>510</v>
      </c>
      <c r="H9" s="158">
        <v>1015</v>
      </c>
      <c r="I9" s="50">
        <v>5</v>
      </c>
      <c r="J9" s="163">
        <f t="shared" si="0"/>
        <v>964.25</v>
      </c>
      <c r="K9" s="164">
        <v>4</v>
      </c>
      <c r="L9" s="163">
        <f t="shared" si="1"/>
        <v>1002.82</v>
      </c>
      <c r="M9" s="162"/>
      <c r="N9" s="163">
        <f t="shared" si="2"/>
        <v>0</v>
      </c>
    </row>
    <row r="10" spans="1:14" ht="25.5" customHeight="1">
      <c r="A10" s="142" t="s">
        <v>512</v>
      </c>
      <c r="B10" s="143"/>
      <c r="C10" s="143"/>
      <c r="D10" s="143"/>
      <c r="E10" s="143"/>
      <c r="F10" s="143"/>
      <c r="G10" s="143"/>
      <c r="H10" s="143"/>
      <c r="I10" s="50">
        <v>5</v>
      </c>
      <c r="J10" s="163">
        <f t="shared" si="0"/>
        <v>0</v>
      </c>
      <c r="K10" s="164">
        <v>4</v>
      </c>
      <c r="L10" s="163">
        <f t="shared" si="1"/>
        <v>0</v>
      </c>
      <c r="M10" s="162"/>
      <c r="N10" s="163">
        <f t="shared" si="2"/>
        <v>0</v>
      </c>
    </row>
    <row r="11" spans="1:14" ht="25.5" customHeight="1">
      <c r="A11" s="144" t="s">
        <v>496</v>
      </c>
      <c r="B11" s="145" t="s">
        <v>513</v>
      </c>
      <c r="C11" s="144" t="s">
        <v>514</v>
      </c>
      <c r="D11" s="144" t="s">
        <v>499</v>
      </c>
      <c r="E11" s="144" t="s">
        <v>515</v>
      </c>
      <c r="F11" s="144" t="s">
        <v>516</v>
      </c>
      <c r="G11" s="144" t="s">
        <v>510</v>
      </c>
      <c r="H11" s="157">
        <v>1470</v>
      </c>
      <c r="I11" s="50">
        <v>5</v>
      </c>
      <c r="J11" s="163">
        <f t="shared" si="0"/>
        <v>1396.5</v>
      </c>
      <c r="K11" s="164">
        <v>4</v>
      </c>
      <c r="L11" s="163">
        <f t="shared" si="1"/>
        <v>1452.36</v>
      </c>
      <c r="M11" s="162"/>
      <c r="N11" s="163">
        <f t="shared" si="2"/>
        <v>0</v>
      </c>
    </row>
    <row r="12" spans="1:14" ht="25.5" customHeight="1">
      <c r="A12" s="146" t="s">
        <v>496</v>
      </c>
      <c r="B12" s="147" t="s">
        <v>517</v>
      </c>
      <c r="C12" s="146" t="s">
        <v>518</v>
      </c>
      <c r="D12" s="146" t="s">
        <v>499</v>
      </c>
      <c r="E12" s="146" t="s">
        <v>500</v>
      </c>
      <c r="F12" s="146" t="s">
        <v>516</v>
      </c>
      <c r="G12" s="146" t="s">
        <v>510</v>
      </c>
      <c r="H12" s="158">
        <v>1470</v>
      </c>
      <c r="I12" s="50">
        <v>5</v>
      </c>
      <c r="J12" s="163">
        <f t="shared" si="0"/>
        <v>1396.5</v>
      </c>
      <c r="K12" s="164">
        <v>4</v>
      </c>
      <c r="L12" s="163">
        <f t="shared" si="1"/>
        <v>1452.36</v>
      </c>
      <c r="M12" s="162"/>
      <c r="N12" s="163">
        <f t="shared" si="2"/>
        <v>0</v>
      </c>
    </row>
    <row r="13" spans="1:14" ht="25.5" customHeight="1">
      <c r="A13" s="142" t="s">
        <v>519</v>
      </c>
      <c r="B13" s="143"/>
      <c r="C13" s="143"/>
      <c r="D13" s="143"/>
      <c r="E13" s="143"/>
      <c r="F13" s="143"/>
      <c r="G13" s="143"/>
      <c r="H13" s="143"/>
      <c r="I13" s="50">
        <v>5</v>
      </c>
      <c r="J13" s="163">
        <f t="shared" si="0"/>
        <v>0</v>
      </c>
      <c r="K13" s="164">
        <v>4</v>
      </c>
      <c r="L13" s="163">
        <f t="shared" si="1"/>
        <v>0</v>
      </c>
      <c r="M13" s="162"/>
      <c r="N13" s="163">
        <f t="shared" si="2"/>
        <v>0</v>
      </c>
    </row>
    <row r="14" spans="1:14" ht="25.5" customHeight="1">
      <c r="A14" s="146" t="s">
        <v>496</v>
      </c>
      <c r="B14" s="147" t="s">
        <v>520</v>
      </c>
      <c r="C14" s="146" t="s">
        <v>521</v>
      </c>
      <c r="D14" s="146" t="s">
        <v>499</v>
      </c>
      <c r="E14" s="146" t="s">
        <v>522</v>
      </c>
      <c r="F14" s="146" t="s">
        <v>506</v>
      </c>
      <c r="G14" s="146" t="s">
        <v>510</v>
      </c>
      <c r="H14" s="158">
        <v>1185</v>
      </c>
      <c r="I14" s="50">
        <v>5</v>
      </c>
      <c r="J14" s="163">
        <f t="shared" si="0"/>
        <v>1125.75</v>
      </c>
      <c r="K14" s="164">
        <v>4</v>
      </c>
      <c r="L14" s="163">
        <f t="shared" si="1"/>
        <v>1170.78</v>
      </c>
      <c r="M14" s="162"/>
      <c r="N14" s="163">
        <f t="shared" si="2"/>
        <v>0</v>
      </c>
    </row>
    <row r="15" spans="1:14" ht="25.5" customHeight="1">
      <c r="A15" s="144" t="s">
        <v>496</v>
      </c>
      <c r="B15" s="145" t="s">
        <v>523</v>
      </c>
      <c r="C15" s="144" t="s">
        <v>524</v>
      </c>
      <c r="D15" s="144" t="s">
        <v>499</v>
      </c>
      <c r="E15" s="144" t="s">
        <v>522</v>
      </c>
      <c r="F15" s="144" t="s">
        <v>506</v>
      </c>
      <c r="G15" s="144" t="s">
        <v>510</v>
      </c>
      <c r="H15" s="157">
        <v>1235</v>
      </c>
      <c r="I15" s="50">
        <v>5</v>
      </c>
      <c r="J15" s="163">
        <f t="shared" si="0"/>
        <v>1173.25</v>
      </c>
      <c r="K15" s="164">
        <v>4</v>
      </c>
      <c r="L15" s="163">
        <f t="shared" si="1"/>
        <v>1220.18</v>
      </c>
      <c r="M15" s="162"/>
      <c r="N15" s="163">
        <f t="shared" si="2"/>
        <v>0</v>
      </c>
    </row>
    <row r="16" spans="1:14" ht="25.5" customHeight="1">
      <c r="A16" s="148" t="s">
        <v>525</v>
      </c>
      <c r="B16" s="149"/>
      <c r="C16" s="149"/>
      <c r="D16" s="149"/>
      <c r="E16" s="149"/>
      <c r="F16" s="149"/>
      <c r="G16" s="149"/>
      <c r="H16" s="149"/>
      <c r="I16" s="50">
        <v>5</v>
      </c>
      <c r="J16" s="163">
        <f t="shared" si="0"/>
        <v>0</v>
      </c>
      <c r="K16" s="164">
        <v>4</v>
      </c>
      <c r="L16" s="163">
        <f t="shared" si="1"/>
        <v>0</v>
      </c>
      <c r="M16" s="162"/>
      <c r="N16" s="163">
        <f t="shared" si="2"/>
        <v>0</v>
      </c>
    </row>
    <row r="17" spans="1:14" ht="25.5" customHeight="1">
      <c r="A17" s="146" t="s">
        <v>526</v>
      </c>
      <c r="B17" s="147" t="s">
        <v>527</v>
      </c>
      <c r="C17" s="146" t="s">
        <v>528</v>
      </c>
      <c r="D17" s="146" t="s">
        <v>499</v>
      </c>
      <c r="E17" s="146" t="s">
        <v>500</v>
      </c>
      <c r="F17" s="146" t="s">
        <v>506</v>
      </c>
      <c r="G17" s="146" t="s">
        <v>502</v>
      </c>
      <c r="H17" s="158">
        <v>1085</v>
      </c>
      <c r="I17" s="50">
        <v>5</v>
      </c>
      <c r="J17" s="163">
        <f t="shared" si="0"/>
        <v>1030.75</v>
      </c>
      <c r="K17" s="164">
        <v>4</v>
      </c>
      <c r="L17" s="163">
        <f t="shared" si="1"/>
        <v>1071.98</v>
      </c>
      <c r="M17" s="162"/>
      <c r="N17" s="163">
        <f t="shared" si="2"/>
        <v>0</v>
      </c>
    </row>
    <row r="18" spans="1:14" ht="25.5" customHeight="1">
      <c r="A18" s="144" t="s">
        <v>526</v>
      </c>
      <c r="B18" s="145" t="s">
        <v>529</v>
      </c>
      <c r="C18" s="144" t="s">
        <v>530</v>
      </c>
      <c r="D18" s="144" t="s">
        <v>499</v>
      </c>
      <c r="E18" s="144" t="s">
        <v>500</v>
      </c>
      <c r="F18" s="144" t="s">
        <v>506</v>
      </c>
      <c r="G18" s="144" t="s">
        <v>502</v>
      </c>
      <c r="H18" s="157">
        <v>1135</v>
      </c>
      <c r="I18" s="50">
        <v>5</v>
      </c>
      <c r="J18" s="163">
        <f t="shared" si="0"/>
        <v>1078.25</v>
      </c>
      <c r="K18" s="164">
        <v>4</v>
      </c>
      <c r="L18" s="163">
        <f t="shared" si="1"/>
        <v>1121.3800000000001</v>
      </c>
      <c r="M18" s="162"/>
      <c r="N18" s="163">
        <f t="shared" si="2"/>
        <v>0</v>
      </c>
    </row>
    <row r="19" spans="1:14" ht="25.5" customHeight="1">
      <c r="A19" s="142" t="s">
        <v>531</v>
      </c>
      <c r="B19" s="143"/>
      <c r="C19" s="143"/>
      <c r="D19" s="143"/>
      <c r="E19" s="143"/>
      <c r="F19" s="143"/>
      <c r="G19" s="143"/>
      <c r="H19" s="143"/>
      <c r="I19" s="50">
        <v>5</v>
      </c>
      <c r="J19" s="163">
        <f t="shared" si="0"/>
        <v>0</v>
      </c>
      <c r="K19" s="164">
        <v>4</v>
      </c>
      <c r="L19" s="163">
        <f t="shared" si="1"/>
        <v>0</v>
      </c>
      <c r="M19" s="162"/>
      <c r="N19" s="163">
        <f t="shared" si="2"/>
        <v>0</v>
      </c>
    </row>
    <row r="20" spans="1:14" ht="25.5" customHeight="1">
      <c r="A20" s="146" t="s">
        <v>526</v>
      </c>
      <c r="B20" s="147" t="s">
        <v>532</v>
      </c>
      <c r="C20" s="146" t="s">
        <v>521</v>
      </c>
      <c r="D20" s="146" t="s">
        <v>499</v>
      </c>
      <c r="E20" s="146" t="s">
        <v>500</v>
      </c>
      <c r="F20" s="146" t="s">
        <v>506</v>
      </c>
      <c r="G20" s="146" t="s">
        <v>510</v>
      </c>
      <c r="H20" s="158">
        <v>1340</v>
      </c>
      <c r="I20" s="50">
        <v>5</v>
      </c>
      <c r="J20" s="163">
        <f t="shared" si="0"/>
        <v>1273</v>
      </c>
      <c r="K20" s="164">
        <v>4</v>
      </c>
      <c r="L20" s="163">
        <f t="shared" si="1"/>
        <v>1323.92</v>
      </c>
      <c r="M20" s="162"/>
      <c r="N20" s="163">
        <f t="shared" si="2"/>
        <v>0</v>
      </c>
    </row>
    <row r="21" spans="1:14" ht="25.5" customHeight="1">
      <c r="A21" s="144" t="s">
        <v>526</v>
      </c>
      <c r="B21" s="145" t="s">
        <v>533</v>
      </c>
      <c r="C21" s="144" t="s">
        <v>524</v>
      </c>
      <c r="D21" s="144" t="s">
        <v>499</v>
      </c>
      <c r="E21" s="144" t="s">
        <v>500</v>
      </c>
      <c r="F21" s="144" t="s">
        <v>506</v>
      </c>
      <c r="G21" s="144" t="s">
        <v>510</v>
      </c>
      <c r="H21" s="157">
        <v>1390</v>
      </c>
      <c r="I21" s="50">
        <v>5</v>
      </c>
      <c r="J21" s="163">
        <f t="shared" si="0"/>
        <v>1320.5</v>
      </c>
      <c r="K21" s="164">
        <v>4</v>
      </c>
      <c r="L21" s="163">
        <f t="shared" si="1"/>
        <v>1373.32</v>
      </c>
      <c r="M21" s="162"/>
      <c r="N21" s="163">
        <f t="shared" si="2"/>
        <v>0</v>
      </c>
    </row>
    <row r="22" spans="1:14" ht="25.5" customHeight="1">
      <c r="A22" s="141" t="s">
        <v>487</v>
      </c>
      <c r="B22" s="154" t="s">
        <v>563</v>
      </c>
      <c r="C22" s="155" t="s">
        <v>564</v>
      </c>
      <c r="D22" s="156" t="s">
        <v>565</v>
      </c>
      <c r="E22" s="141" t="s">
        <v>566</v>
      </c>
      <c r="F22" s="141" t="s">
        <v>492</v>
      </c>
      <c r="G22" s="141" t="s">
        <v>567</v>
      </c>
      <c r="H22" s="155" t="s">
        <v>494</v>
      </c>
      <c r="I22" s="50">
        <v>5</v>
      </c>
      <c r="J22" s="163"/>
      <c r="K22" s="164">
        <v>4</v>
      </c>
      <c r="L22" s="163">
        <f t="shared" si="1"/>
        <v>0</v>
      </c>
      <c r="M22" s="162"/>
      <c r="N22" s="163">
        <f t="shared" si="2"/>
        <v>0</v>
      </c>
    </row>
    <row r="23" spans="1:14" ht="30">
      <c r="A23" s="146" t="s">
        <v>534</v>
      </c>
      <c r="B23" s="150" t="s">
        <v>535</v>
      </c>
      <c r="C23" s="146" t="s">
        <v>536</v>
      </c>
      <c r="D23" s="146" t="s">
        <v>537</v>
      </c>
      <c r="E23" s="151">
        <v>1</v>
      </c>
      <c r="F23" s="151">
        <v>1</v>
      </c>
      <c r="G23" s="146" t="s">
        <v>538</v>
      </c>
      <c r="H23" s="159">
        <v>2025</v>
      </c>
      <c r="I23" s="50">
        <v>5</v>
      </c>
      <c r="J23" s="163">
        <f t="shared" si="0"/>
        <v>1923.75</v>
      </c>
      <c r="K23" s="164">
        <v>4</v>
      </c>
      <c r="L23" s="163">
        <f t="shared" si="1"/>
        <v>2000.7</v>
      </c>
      <c r="M23" s="162"/>
      <c r="N23" s="163">
        <f t="shared" si="2"/>
        <v>0</v>
      </c>
    </row>
    <row r="24" spans="1:14" ht="18.75">
      <c r="A24" s="144" t="s">
        <v>534</v>
      </c>
      <c r="B24" s="145" t="s">
        <v>539</v>
      </c>
      <c r="C24" s="144" t="s">
        <v>540</v>
      </c>
      <c r="D24" s="144" t="s">
        <v>541</v>
      </c>
      <c r="E24" s="152">
        <v>1</v>
      </c>
      <c r="F24" s="152">
        <v>1</v>
      </c>
      <c r="G24" s="144" t="s">
        <v>538</v>
      </c>
      <c r="H24" s="160">
        <v>2225</v>
      </c>
      <c r="I24" s="50">
        <v>5</v>
      </c>
      <c r="J24" s="163">
        <f t="shared" si="0"/>
        <v>2113.75</v>
      </c>
      <c r="K24" s="164">
        <v>4</v>
      </c>
      <c r="L24" s="163">
        <f t="shared" si="1"/>
        <v>2198.3000000000002</v>
      </c>
      <c r="M24" s="162"/>
      <c r="N24" s="163">
        <f t="shared" si="2"/>
        <v>0</v>
      </c>
    </row>
    <row r="25" spans="1:14" ht="30">
      <c r="A25" s="146" t="s">
        <v>534</v>
      </c>
      <c r="B25" s="150" t="s">
        <v>542</v>
      </c>
      <c r="C25" s="146" t="s">
        <v>540</v>
      </c>
      <c r="D25" s="146" t="s">
        <v>543</v>
      </c>
      <c r="E25" s="151">
        <v>1</v>
      </c>
      <c r="F25" s="151">
        <v>1</v>
      </c>
      <c r="G25" s="146" t="s">
        <v>538</v>
      </c>
      <c r="H25" s="159">
        <v>3025</v>
      </c>
      <c r="I25" s="50">
        <v>5</v>
      </c>
      <c r="J25" s="163">
        <f t="shared" si="0"/>
        <v>2873.75</v>
      </c>
      <c r="K25" s="164">
        <v>4</v>
      </c>
      <c r="L25" s="163">
        <f t="shared" si="1"/>
        <v>2988.7</v>
      </c>
      <c r="M25" s="162"/>
      <c r="N25" s="163">
        <f t="shared" si="2"/>
        <v>0</v>
      </c>
    </row>
    <row r="26" spans="1:14" ht="30">
      <c r="A26" s="144" t="s">
        <v>534</v>
      </c>
      <c r="B26" s="153" t="s">
        <v>544</v>
      </c>
      <c r="C26" s="144" t="s">
        <v>536</v>
      </c>
      <c r="D26" s="144" t="s">
        <v>543</v>
      </c>
      <c r="E26" s="152">
        <v>1</v>
      </c>
      <c r="F26" s="152">
        <v>1</v>
      </c>
      <c r="G26" s="144" t="s">
        <v>545</v>
      </c>
      <c r="H26" s="161">
        <v>5000</v>
      </c>
      <c r="I26" s="50">
        <v>5</v>
      </c>
      <c r="J26" s="163">
        <f t="shared" si="0"/>
        <v>4750</v>
      </c>
      <c r="K26" s="164">
        <v>4</v>
      </c>
      <c r="L26" s="163">
        <f t="shared" si="1"/>
        <v>4940</v>
      </c>
      <c r="M26" s="162"/>
      <c r="N26" s="163">
        <f t="shared" si="2"/>
        <v>0</v>
      </c>
    </row>
    <row r="27" spans="1:14" ht="30">
      <c r="A27" s="146" t="s">
        <v>546</v>
      </c>
      <c r="B27" s="150" t="s">
        <v>547</v>
      </c>
      <c r="C27" s="146" t="s">
        <v>536</v>
      </c>
      <c r="D27" s="146" t="s">
        <v>537</v>
      </c>
      <c r="E27" s="151">
        <v>1</v>
      </c>
      <c r="F27" s="151">
        <v>1</v>
      </c>
      <c r="G27" s="146" t="s">
        <v>538</v>
      </c>
      <c r="H27" s="159">
        <v>2975</v>
      </c>
      <c r="I27" s="50">
        <v>5</v>
      </c>
      <c r="J27" s="163">
        <f t="shared" si="0"/>
        <v>2826.25</v>
      </c>
      <c r="K27" s="164">
        <v>4</v>
      </c>
      <c r="L27" s="163">
        <f t="shared" si="1"/>
        <v>2939.3</v>
      </c>
      <c r="M27" s="162"/>
      <c r="N27" s="163">
        <f t="shared" si="2"/>
        <v>0</v>
      </c>
    </row>
    <row r="28" spans="1:14" ht="18.75">
      <c r="A28" s="144" t="s">
        <v>546</v>
      </c>
      <c r="B28" s="145" t="s">
        <v>548</v>
      </c>
      <c r="C28" s="144" t="s">
        <v>536</v>
      </c>
      <c r="D28" s="144" t="s">
        <v>537</v>
      </c>
      <c r="E28" s="152">
        <v>1</v>
      </c>
      <c r="F28" s="152">
        <v>1</v>
      </c>
      <c r="G28" s="144" t="s">
        <v>538</v>
      </c>
      <c r="H28" s="160">
        <v>3225</v>
      </c>
      <c r="I28" s="50">
        <v>5</v>
      </c>
      <c r="J28" s="163">
        <f t="shared" si="0"/>
        <v>3063.75</v>
      </c>
      <c r="K28" s="164">
        <v>4</v>
      </c>
      <c r="L28" s="163">
        <f t="shared" si="1"/>
        <v>3186.3</v>
      </c>
      <c r="M28" s="162"/>
      <c r="N28" s="163">
        <f t="shared" si="2"/>
        <v>0</v>
      </c>
    </row>
    <row r="29" spans="1:14" ht="30">
      <c r="A29" s="146" t="s">
        <v>546</v>
      </c>
      <c r="B29" s="150" t="s">
        <v>549</v>
      </c>
      <c r="C29" s="146" t="s">
        <v>536</v>
      </c>
      <c r="D29" s="146" t="s">
        <v>550</v>
      </c>
      <c r="E29" s="151">
        <v>1</v>
      </c>
      <c r="F29" s="151">
        <v>1</v>
      </c>
      <c r="G29" s="146" t="s">
        <v>538</v>
      </c>
      <c r="H29" s="159">
        <v>4350</v>
      </c>
      <c r="I29" s="50">
        <v>5</v>
      </c>
      <c r="J29" s="163">
        <f t="shared" si="0"/>
        <v>4132.5</v>
      </c>
      <c r="K29" s="164">
        <v>4</v>
      </c>
      <c r="L29" s="163">
        <f t="shared" si="1"/>
        <v>4297.8</v>
      </c>
      <c r="M29" s="162"/>
      <c r="N29" s="163">
        <f t="shared" si="2"/>
        <v>0</v>
      </c>
    </row>
    <row r="30" spans="1:14" ht="30">
      <c r="A30" s="144" t="s">
        <v>546</v>
      </c>
      <c r="B30" s="153" t="s">
        <v>551</v>
      </c>
      <c r="C30" s="144" t="s">
        <v>536</v>
      </c>
      <c r="D30" s="144" t="s">
        <v>552</v>
      </c>
      <c r="E30" s="152">
        <v>1</v>
      </c>
      <c r="F30" s="152">
        <v>1</v>
      </c>
      <c r="G30" s="144" t="s">
        <v>538</v>
      </c>
      <c r="H30" s="160">
        <v>7600</v>
      </c>
      <c r="I30" s="50">
        <v>5</v>
      </c>
      <c r="J30" s="163">
        <f t="shared" si="0"/>
        <v>7220</v>
      </c>
      <c r="K30" s="164">
        <v>4</v>
      </c>
      <c r="L30" s="163">
        <f t="shared" si="1"/>
        <v>7508.8</v>
      </c>
      <c r="M30" s="162"/>
      <c r="N30" s="163">
        <f t="shared" si="2"/>
        <v>0</v>
      </c>
    </row>
    <row r="31" spans="1:14" ht="30">
      <c r="A31" s="146" t="s">
        <v>553</v>
      </c>
      <c r="B31" s="150" t="s">
        <v>554</v>
      </c>
      <c r="C31" s="146" t="s">
        <v>536</v>
      </c>
      <c r="D31" s="146" t="s">
        <v>555</v>
      </c>
      <c r="E31" s="151">
        <v>1</v>
      </c>
      <c r="F31" s="151">
        <v>1</v>
      </c>
      <c r="G31" s="146" t="s">
        <v>538</v>
      </c>
      <c r="H31" s="159">
        <v>4900</v>
      </c>
      <c r="I31" s="50">
        <v>5</v>
      </c>
      <c r="J31" s="163">
        <f t="shared" si="0"/>
        <v>4655</v>
      </c>
      <c r="K31" s="164">
        <v>4</v>
      </c>
      <c r="L31" s="163">
        <f t="shared" si="1"/>
        <v>4841.2</v>
      </c>
      <c r="M31" s="162"/>
      <c r="N31" s="163">
        <f t="shared" si="2"/>
        <v>0</v>
      </c>
    </row>
    <row r="32" spans="1:14" ht="30">
      <c r="A32" s="144" t="s">
        <v>553</v>
      </c>
      <c r="B32" s="153" t="s">
        <v>556</v>
      </c>
      <c r="C32" s="144" t="s">
        <v>536</v>
      </c>
      <c r="D32" s="144" t="s">
        <v>550</v>
      </c>
      <c r="E32" s="152">
        <v>1</v>
      </c>
      <c r="F32" s="152">
        <v>1</v>
      </c>
      <c r="G32" s="144" t="s">
        <v>538</v>
      </c>
      <c r="H32" s="160">
        <v>7500</v>
      </c>
      <c r="I32" s="50">
        <v>5</v>
      </c>
      <c r="J32" s="163">
        <f t="shared" si="0"/>
        <v>7125</v>
      </c>
      <c r="K32" s="164">
        <v>4</v>
      </c>
      <c r="L32" s="163">
        <f t="shared" si="1"/>
        <v>7410</v>
      </c>
      <c r="M32" s="162"/>
      <c r="N32" s="163">
        <f t="shared" si="2"/>
        <v>0</v>
      </c>
    </row>
    <row r="33" spans="1:14" ht="30">
      <c r="A33" s="146" t="s">
        <v>553</v>
      </c>
      <c r="B33" s="147" t="s">
        <v>557</v>
      </c>
      <c r="C33" s="146" t="s">
        <v>536</v>
      </c>
      <c r="D33" s="146" t="s">
        <v>558</v>
      </c>
      <c r="E33" s="151">
        <v>1</v>
      </c>
      <c r="F33" s="151">
        <v>1</v>
      </c>
      <c r="G33" s="146" t="s">
        <v>538</v>
      </c>
      <c r="H33" s="159">
        <v>14300</v>
      </c>
      <c r="I33" s="50">
        <v>5</v>
      </c>
      <c r="J33" s="163">
        <f t="shared" si="0"/>
        <v>13585</v>
      </c>
      <c r="K33" s="164">
        <v>4</v>
      </c>
      <c r="L33" s="163">
        <f t="shared" si="1"/>
        <v>14128.4</v>
      </c>
      <c r="M33" s="162"/>
      <c r="N33" s="163">
        <f t="shared" si="2"/>
        <v>0</v>
      </c>
    </row>
    <row r="34" spans="1:14" ht="18.75">
      <c r="A34" s="144" t="s">
        <v>559</v>
      </c>
      <c r="B34" s="145" t="s">
        <v>560</v>
      </c>
      <c r="C34" s="144" t="s">
        <v>540</v>
      </c>
      <c r="D34" s="144" t="s">
        <v>555</v>
      </c>
      <c r="E34" s="152">
        <v>2</v>
      </c>
      <c r="F34" s="152">
        <v>1</v>
      </c>
      <c r="G34" s="144" t="s">
        <v>545</v>
      </c>
      <c r="H34" s="161">
        <v>15600</v>
      </c>
      <c r="I34" s="50">
        <v>5</v>
      </c>
      <c r="J34" s="163">
        <f t="shared" si="0"/>
        <v>14820</v>
      </c>
      <c r="K34" s="164">
        <v>4</v>
      </c>
      <c r="L34" s="163">
        <f t="shared" si="1"/>
        <v>15412.8</v>
      </c>
      <c r="M34" s="162"/>
      <c r="N34" s="163">
        <f t="shared" si="2"/>
        <v>0</v>
      </c>
    </row>
    <row r="35" spans="1:14" ht="30">
      <c r="A35" s="146" t="s">
        <v>561</v>
      </c>
      <c r="B35" s="147" t="s">
        <v>562</v>
      </c>
      <c r="C35" s="146" t="s">
        <v>540</v>
      </c>
      <c r="D35" s="146" t="s">
        <v>543</v>
      </c>
      <c r="E35" s="151">
        <v>2</v>
      </c>
      <c r="F35" s="151">
        <v>1</v>
      </c>
      <c r="G35" s="146" t="s">
        <v>545</v>
      </c>
      <c r="H35" s="159">
        <v>19950</v>
      </c>
      <c r="I35" s="50">
        <v>5</v>
      </c>
      <c r="J35" s="163">
        <f t="shared" si="0"/>
        <v>18952.5</v>
      </c>
      <c r="K35" s="164">
        <v>4</v>
      </c>
      <c r="L35" s="163">
        <f t="shared" si="1"/>
        <v>19710.599999999999</v>
      </c>
      <c r="M35" s="162"/>
      <c r="N35" s="163">
        <f t="shared" si="2"/>
        <v>0</v>
      </c>
    </row>
  </sheetData>
  <mergeCells count="12">
    <mergeCell ref="I1:I2"/>
    <mergeCell ref="J1:J2"/>
    <mergeCell ref="K1:K2"/>
    <mergeCell ref="L1:L2"/>
    <mergeCell ref="M1:M2"/>
    <mergeCell ref="N1:N2"/>
    <mergeCell ref="A2:H2"/>
    <mergeCell ref="A7:H7"/>
    <mergeCell ref="A10:H10"/>
    <mergeCell ref="A13:H13"/>
    <mergeCell ref="A16:H16"/>
    <mergeCell ref="A19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HIKVISION</vt:lpstr>
      <vt:lpstr>PRAMA</vt:lpstr>
      <vt:lpstr>CP IP</vt:lpstr>
      <vt:lpstr>CP HD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Hikvision Price List_Nov_ Revised,2025.xlsx</dc:title>
  <dc:creator>WINDOWS</dc:creator>
  <cp:lastModifiedBy>WINDOWS</cp:lastModifiedBy>
  <dcterms:created xsi:type="dcterms:W3CDTF">2026-02-16T07:47:17Z</dcterms:created>
  <dcterms:modified xsi:type="dcterms:W3CDTF">2026-02-16T13:45:30Z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2025-11-24T00:00:00Z</vt:filetime>
  </property>
  <property fmtid="{D5CDD505-2E9C-101B-9397-08002B2CF9AE}" pid="3" name="LastSaved">
    <vt:filetime>2026-02-16T00:00:00Z</vt:filetime>
  </property>
  <property fmtid="{D5CDD505-2E9C-101B-9397-08002B2CF9AE}" pid="4" name="Producer">
    <vt:lpwstr>Microsoft: Print To PDF</vt:lpwstr>
  </property>
</Properties>
</file>